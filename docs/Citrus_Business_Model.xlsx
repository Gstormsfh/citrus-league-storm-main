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sts &amp; Marketing" sheetId="4" state="visible" r:id="rId4"/>
    <sheet name="P&amp;L Summary" sheetId="5" state="visible" r:id="rId5"/>
    <sheet name="Annual Summary" sheetId="6" state="visible" r:id="rId6"/>
    <sheet name="Sensitivity" sheetId="7" state="visible" r:id="rId7"/>
    <sheet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x"/>
    <numFmt numFmtId="166" formatCode="0.0&quot;%&quot;"/>
    <numFmt numFmtId="167" formatCode="0.00x"/>
    <numFmt numFmtId="168" formatCode="+0.0%;-0.0%"/>
  </numFmts>
  <fonts count="14">
    <font>
      <name val="Calibri"/>
      <family val="2"/>
      <color theme="1"/>
      <sz val="11"/>
      <scheme val="minor"/>
    </font>
    <font>
      <name val="Calibri"/>
      <b val="1"/>
      <color rgb="004A6741"/>
      <sz val="16"/>
    </font>
    <font>
      <name val="Calibri"/>
      <i val="1"/>
      <color rgb="00666666"/>
      <sz val="9"/>
    </font>
    <font>
      <name val="Calibri"/>
      <b val="1"/>
      <color rgb="004A6741"/>
      <sz val="11"/>
    </font>
    <font>
      <name val="Calibri"/>
      <sz val="10"/>
    </font>
    <font>
      <name val="Calibri"/>
      <b val="1"/>
      <color rgb="00D4702A"/>
      <sz val="10"/>
    </font>
    <font>
      <name val="Calibri"/>
      <b val="1"/>
      <color rgb="00FFFFFF"/>
      <sz val="12"/>
    </font>
    <font>
      <name val="Calibri"/>
      <b val="1"/>
      <sz val="10"/>
    </font>
    <font>
      <name val="Calibri"/>
      <b val="1"/>
      <color rgb="00D4702A"/>
      <sz val="8"/>
    </font>
    <font>
      <name val="Calibri"/>
      <b val="1"/>
      <color rgb="004A6741"/>
      <sz val="8"/>
    </font>
    <font>
      <name val="Calibri"/>
      <b val="1"/>
      <color rgb="00CC0000"/>
      <sz val="10"/>
    </font>
    <font>
      <name val="Calibri"/>
      <b val="1"/>
      <color rgb="004A6741"/>
      <sz val="10"/>
    </font>
    <font>
      <name val="Calibri"/>
      <b val="1"/>
      <color rgb="00D4702A"/>
    </font>
    <font>
      <name val="Calibri"/>
      <b val="1"/>
      <color rgb="004A6741"/>
    </font>
  </fonts>
  <fills count="8">
    <fill>
      <patternFill/>
    </fill>
    <fill>
      <patternFill patternType="gray125"/>
    </fill>
    <fill>
      <patternFill patternType="solid">
        <fgColor rgb="00FFF9E6"/>
        <bgColor rgb="00FFF9E6"/>
      </patternFill>
    </fill>
    <fill>
      <patternFill patternType="solid">
        <fgColor rgb="004A6741"/>
        <bgColor rgb="004A6741"/>
      </patternFill>
    </fill>
    <fill>
      <patternFill patternType="solid">
        <fgColor rgb="00F5F0E8"/>
        <bgColor rgb="00F5F0E8"/>
      </patternFill>
    </fill>
    <fill>
      <patternFill patternType="solid">
        <fgColor rgb="00FFF0E0"/>
        <bgColor rgb="00FFF0E0"/>
      </patternFill>
    </fill>
    <fill>
      <patternFill patternType="solid">
        <fgColor rgb="00E8F5E8"/>
        <bgColor rgb="00E8F5E8"/>
      </patternFill>
    </fill>
    <fill>
      <patternFill patternType="solid">
        <fgColor rgb="00D4E8B8"/>
        <bgColor rgb="00D4E8B8"/>
      </patternFill>
    </fill>
  </fills>
  <borders count="4">
    <border>
      <left/>
      <right/>
      <top/>
      <bottom/>
      <diagonal/>
    </border>
    <border>
      <bottom style="medium">
        <color rgb="004A6741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top style="medium">
        <color rgb="004A6741"/>
      </top>
      <bottom style="double">
        <color rgb="004A674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2" pivotButton="0" quotePrefix="0" xfId="0"/>
    <xf numFmtId="3" fontId="5" fillId="2" borderId="2" pivotButton="0" quotePrefix="0" xfId="0"/>
    <xf numFmtId="0" fontId="4" fillId="0" borderId="0" pivotButton="0" quotePrefix="0" xfId="0"/>
    <xf numFmtId="0" fontId="2" fillId="0" borderId="2" pivotButton="0" quotePrefix="0" xfId="0"/>
    <xf numFmtId="164" fontId="5" fillId="2" borderId="2" pivotButton="0" quotePrefix="0" xfId="0"/>
    <xf numFmtId="4" fontId="5" fillId="2" borderId="2" pivotButton="0" quotePrefix="0" xfId="0"/>
    <xf numFmtId="165" fontId="5" fillId="2" borderId="2" pivotButton="0" quotePrefix="0" xfId="0"/>
    <xf numFmtId="1" fontId="5" fillId="2" borderId="2" pivotButton="0" quotePrefix="0" xfId="0"/>
    <xf numFmtId="0" fontId="6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/>
    </xf>
    <xf numFmtId="0" fontId="7" fillId="4" borderId="3" pivotButton="0" quotePrefix="0" xfId="0"/>
    <xf numFmtId="3" fontId="7" fillId="4" borderId="3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166" fontId="4" fillId="0" borderId="2" applyAlignment="1" pivotButton="0" quotePrefix="0" xfId="0">
      <alignment horizontal="center"/>
    </xf>
    <xf numFmtId="0" fontId="3" fillId="7" borderId="2" pivotButton="0" quotePrefix="0" xfId="0"/>
    <xf numFmtId="0" fontId="0" fillId="7" borderId="2" pivotButton="0" quotePrefix="0" xfId="0"/>
    <xf numFmtId="0" fontId="7" fillId="0" borderId="2" pivotButton="0" quotePrefix="0" xfId="0"/>
    <xf numFmtId="3" fontId="7" fillId="4" borderId="2" applyAlignment="1" pivotButton="0" quotePrefix="0" xfId="0">
      <alignment horizontal="center"/>
    </xf>
    <xf numFmtId="0" fontId="7" fillId="0" borderId="0" pivotButton="0" quotePrefix="0" xfId="0"/>
    <xf numFmtId="3" fontId="7" fillId="6" borderId="2" applyAlignment="1" pivotButton="0" quotePrefix="0" xfId="0">
      <alignment horizontal="center"/>
    </xf>
    <xf numFmtId="0" fontId="3" fillId="0" borderId="0" pivotButton="0" quotePrefix="0" xfId="0"/>
    <xf numFmtId="3" fontId="7" fillId="0" borderId="0" pivotButton="0" quotePrefix="0" xfId="0"/>
    <xf numFmtId="3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3" fontId="10" fillId="0" borderId="2" applyAlignment="1" pivotButton="0" quotePrefix="0" xfId="0">
      <alignment horizontal="center"/>
    </xf>
    <xf numFmtId="3" fontId="11" fillId="0" borderId="2" applyAlignment="1" pivotButton="0" quotePrefix="0" xfId="0">
      <alignment horizontal="center"/>
    </xf>
    <xf numFmtId="4" fontId="0" fillId="0" borderId="2" applyAlignment="1" pivotButton="0" quotePrefix="0" xfId="0">
      <alignment horizontal="center"/>
    </xf>
    <xf numFmtId="167" fontId="0" fillId="0" borderId="2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3" fontId="13" fillId="4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68" fontId="0" fillId="0" borderId="2" applyAlignment="1" pivotButton="0" quotePrefix="0" xfId="0">
      <alignment horizontal="center"/>
    </xf>
    <xf numFmtId="0" fontId="7" fillId="6" borderId="2" applyAlignment="1" pivotButton="0" quotePrefix="0" xfId="0">
      <alignment horizontal="center"/>
    </xf>
    <xf numFmtId="168" fontId="7" fillId="6" borderId="2" applyAlignment="1" pivotButton="0" quotePrefix="0" xfId="0">
      <alignment horizontal="center"/>
    </xf>
    <xf numFmtId="164" fontId="7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6741"/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" customWidth="1" min="3" max="3"/>
    <col width="55" customWidth="1" min="4" max="4"/>
  </cols>
  <sheetData>
    <row r="1">
      <c r="A1" s="1" t="inlineStr">
        <is>
          <t>CITRUS FANTASY SPORTS — DYNAMIC BUSINESS MODEL</t>
        </is>
      </c>
    </row>
    <row r="2">
      <c r="A2" s="2" t="inlineStr">
        <is>
          <t>All yellow cells are editable inputs — model recalculates dynamically</t>
        </is>
      </c>
    </row>
    <row r="4">
      <c r="A4" s="3" t="inlineStr">
        <is>
          <t>MARKET ASSUMPTIONS</t>
        </is>
      </c>
    </row>
    <row r="5">
      <c r="A5" s="4" t="inlineStr">
        <is>
          <t>Total Addressable Market (TAM)</t>
        </is>
      </c>
      <c r="B5" s="5" t="n">
        <v>32000000000</v>
      </c>
      <c r="C5" s="6" t="n"/>
      <c r="D5" s="7" t="inlineStr">
        <is>
          <t>Fantasy Sports global — Pitch Deck</t>
        </is>
      </c>
    </row>
    <row r="6">
      <c r="A6" s="4" t="inlineStr">
        <is>
          <t>Serviceable Addressable Market (SAM)</t>
        </is>
      </c>
      <c r="B6" s="5" t="n">
        <v>1500000000</v>
      </c>
      <c r="C6" s="6" t="n"/>
      <c r="D6" s="7" t="inlineStr">
        <is>
          <t>Fantasy Hockey global est. — Pitch Deck</t>
        </is>
      </c>
    </row>
    <row r="7">
      <c r="A7" s="4" t="inlineStr">
        <is>
          <t>Active Fantasy Hockey Players (NA)</t>
        </is>
      </c>
      <c r="B7" s="5" t="n">
        <v>5800000</v>
      </c>
      <c r="C7" s="6" t="n"/>
      <c r="D7" s="7" t="inlineStr">
        <is>
          <t>Pitch Deck — 5.8M adults</t>
        </is>
      </c>
    </row>
    <row r="8">
      <c r="A8" s="4" t="inlineStr">
        <is>
          <t>NHL Audience CAGR</t>
        </is>
      </c>
      <c r="B8" s="8" t="n">
        <v>0.146</v>
      </c>
      <c r="C8" s="6" t="n"/>
      <c r="D8" s="7" t="inlineStr">
        <is>
          <t>14.6% — Fastest growing Big 4 sport</t>
        </is>
      </c>
    </row>
    <row r="9">
      <c r="A9" s="4" t="inlineStr">
        <is>
          <t>Fantasy Market CAGR</t>
        </is>
      </c>
      <c r="B9" s="8" t="n">
        <v>0.1045</v>
      </c>
      <c r="C9" s="6" t="n"/>
      <c r="D9" s="7" t="inlineStr">
        <is>
          <t>10.45% — 2025-2035 (industry reports)</t>
        </is>
      </c>
    </row>
    <row r="11">
      <c r="A11" s="3" t="inlineStr">
        <is>
          <t>PRICING</t>
        </is>
      </c>
      <c r="D11" s="2" t="inlineStr"/>
    </row>
    <row r="12">
      <c r="A12" s="4" t="inlineStr">
        <is>
          <t>Pro Monthly Price</t>
        </is>
      </c>
      <c r="B12" s="9" t="n">
        <v>4.99</v>
      </c>
      <c r="C12" s="6" t="n"/>
      <c r="D12" s="7" t="inlineStr">
        <is>
          <t>Pitch Deck — $4.99/mo</t>
        </is>
      </c>
    </row>
    <row r="13">
      <c r="A13" s="4" t="inlineStr">
        <is>
          <t>Commissioner Monthly Price</t>
        </is>
      </c>
      <c r="B13" s="9" t="n">
        <v>9.99</v>
      </c>
      <c r="C13" s="6" t="n"/>
      <c r="D13" s="7" t="inlineStr">
        <is>
          <t>Pricing Page — $9.99/mo</t>
        </is>
      </c>
    </row>
    <row r="14">
      <c r="A14" s="4" t="inlineStr">
        <is>
          <t>Annual Discount (%)</t>
        </is>
      </c>
      <c r="B14" s="8" t="n">
        <v>0.2</v>
      </c>
      <c r="C14" s="6" t="n"/>
      <c r="D14" s="7" t="inlineStr">
        <is>
          <t>20% discount for annual billing</t>
        </is>
      </c>
    </row>
    <row r="15">
      <c r="A15" s="4" t="inlineStr">
        <is>
          <t>Pro Annual Price (effective)</t>
        </is>
      </c>
      <c r="B15" s="9" t="n">
        <v>47.9</v>
      </c>
      <c r="C15" s="6" t="n"/>
      <c r="D15" s="7">
        <f>$4.99 × 12 × (1 - 20%)</f>
        <v/>
      </c>
    </row>
    <row r="16">
      <c r="A16" s="4" t="inlineStr">
        <is>
          <t>Commissioner Annual Price (effective)</t>
        </is>
      </c>
      <c r="B16" s="9" t="n">
        <v>95.90000000000001</v>
      </c>
      <c r="C16" s="6" t="n"/>
      <c r="D16" s="7">
        <f>$9.99 × 12 × (1 - 20%)</f>
        <v/>
      </c>
    </row>
    <row r="18">
      <c r="A18" s="3" t="inlineStr">
        <is>
          <t>CONVERSION RATES</t>
        </is>
      </c>
      <c r="D18" s="2" t="inlineStr">
        <is>
          <t>Source</t>
        </is>
      </c>
    </row>
    <row r="19">
      <c r="A19" s="4" t="inlineStr">
        <is>
          <t>Free → Pro Conversion (Year 1)</t>
        </is>
      </c>
      <c r="B19" s="8" t="n">
        <v>0.035</v>
      </c>
      <c r="C19" s="6" t="n"/>
      <c r="D19" s="7" t="inlineStr">
        <is>
          <t>3.5% — Freemium SaaS benchmark (OpenView/Lenny)</t>
        </is>
      </c>
    </row>
    <row r="20">
      <c r="A20" s="4" t="inlineStr">
        <is>
          <t>Free → Pro Conversion (Year 2)</t>
        </is>
      </c>
      <c r="B20" s="8" t="n">
        <v>0.055</v>
      </c>
      <c r="C20" s="6" t="n"/>
      <c r="D20" s="7" t="inlineStr">
        <is>
          <t>5.5% — Maturing product, better onboarding</t>
        </is>
      </c>
    </row>
    <row r="21">
      <c r="A21" s="4" t="inlineStr">
        <is>
          <t>Free → Commissioner Conversion (Year 1)</t>
        </is>
      </c>
      <c r="B21" s="8" t="n">
        <v>0.008</v>
      </c>
      <c r="C21" s="6" t="n"/>
      <c r="D21" s="7" t="inlineStr">
        <is>
          <t>0.8% — Commissioner is niche power-user tier</t>
        </is>
      </c>
    </row>
    <row r="22">
      <c r="A22" s="4" t="inlineStr">
        <is>
          <t>Free → Commissioner Conversion (Year 2)</t>
        </is>
      </c>
      <c r="B22" s="8" t="n">
        <v>0.015</v>
      </c>
      <c r="C22" s="6" t="n"/>
      <c r="D22" s="7" t="inlineStr">
        <is>
          <t>1.5% — Growing league commissioner base</t>
        </is>
      </c>
    </row>
    <row r="23">
      <c r="A23" s="4" t="inlineStr">
        <is>
          <t>In-Season Conversion Multiplier</t>
        </is>
      </c>
      <c r="B23" s="10" t="n">
        <v>1.8</v>
      </c>
      <c r="C23" s="6" t="n"/>
      <c r="D23" s="7" t="inlineStr">
        <is>
          <t>1.8x — Users convert more during NHL season</t>
        </is>
      </c>
    </row>
    <row r="24">
      <c r="A24" s="4" t="inlineStr">
        <is>
          <t>Off-Season Conversion Multiplier</t>
        </is>
      </c>
      <c r="B24" s="10" t="n">
        <v>0.4</v>
      </c>
      <c r="C24" s="6" t="n"/>
      <c r="D24" s="7" t="inlineStr">
        <is>
          <t>0.4x — Minimal conversion in summer</t>
        </is>
      </c>
    </row>
    <row r="26">
      <c r="A26" s="3" t="inlineStr">
        <is>
          <t>CHURN RATES (Monthly)</t>
        </is>
      </c>
      <c r="D26" s="2" t="inlineStr">
        <is>
          <t>Source</t>
        </is>
      </c>
    </row>
    <row r="27">
      <c r="A27" s="4" t="inlineStr">
        <is>
          <t>Pro Monthly Churn (In-Season)</t>
        </is>
      </c>
      <c r="B27" s="8" t="n">
        <v>0.04</v>
      </c>
      <c r="C27" s="6" t="n"/>
      <c r="D27" s="7" t="inlineStr">
        <is>
          <t>4% — Below mobile avg 9% (strong engagement)</t>
        </is>
      </c>
    </row>
    <row r="28">
      <c r="A28" s="4" t="inlineStr">
        <is>
          <t>Pro Monthly Churn (Off-Season)</t>
        </is>
      </c>
      <c r="B28" s="8" t="n">
        <v>0.12</v>
      </c>
      <c r="C28" s="6" t="n"/>
      <c r="D28" s="7" t="inlineStr">
        <is>
          <t>12% — Seasonal product, higher summer churn</t>
        </is>
      </c>
    </row>
    <row r="29">
      <c r="A29" s="4" t="inlineStr">
        <is>
          <t>Commissioner Monthly Churn (In-Season)</t>
        </is>
      </c>
      <c r="B29" s="8" t="n">
        <v>0.025</v>
      </c>
      <c r="C29" s="6" t="n"/>
      <c r="D29" s="7" t="inlineStr">
        <is>
          <t>2.5% — Commissioners are stickiest users</t>
        </is>
      </c>
    </row>
    <row r="30">
      <c r="A30" s="4" t="inlineStr">
        <is>
          <t>Commissioner Monthly Churn (Off-Season)</t>
        </is>
      </c>
      <c r="B30" s="8" t="n">
        <v>0.08</v>
      </c>
      <c r="C30" s="6" t="n"/>
      <c r="D30" s="7" t="inlineStr">
        <is>
          <t>8% — Some pause in summer</t>
        </is>
      </c>
    </row>
    <row r="31">
      <c r="A31" s="4" t="inlineStr">
        <is>
          <t>Free User Monthly Churn (In-Season)</t>
        </is>
      </c>
      <c r="B31" s="8" t="n">
        <v>0.06</v>
      </c>
      <c r="C31" s="6" t="n"/>
      <c r="D31" s="7" t="inlineStr">
        <is>
          <t>6% — Free users less committed</t>
        </is>
      </c>
    </row>
    <row r="32">
      <c r="A32" s="4" t="inlineStr">
        <is>
          <t>Free User Monthly Churn (Off-Season)</t>
        </is>
      </c>
      <c r="B32" s="8" t="n">
        <v>0.15</v>
      </c>
      <c r="C32" s="6" t="n"/>
      <c r="D32" s="7" t="inlineStr">
        <is>
          <t>15% — High summer attrition for free tier</t>
        </is>
      </c>
    </row>
    <row r="33">
      <c r="A33" s="4" t="inlineStr">
        <is>
          <t>Sleeper Comp: Annual Retention</t>
        </is>
      </c>
      <c r="B33" s="8" t="n">
        <v>0.75</v>
      </c>
      <c r="C33" s="6" t="n"/>
      <c r="D33" s="7" t="inlineStr">
        <is>
          <t>75% — Sleeper's reported retention rate</t>
        </is>
      </c>
    </row>
    <row r="35">
      <c r="A35" s="3" t="inlineStr">
        <is>
          <t>PAY-PER-USE REVENUE</t>
        </is>
      </c>
      <c r="D35" s="2" t="inlineStr"/>
    </row>
    <row r="36">
      <c r="A36" s="4" t="inlineStr">
        <is>
          <t>Stormy AI Query Pack Price</t>
        </is>
      </c>
      <c r="B36" s="9" t="n">
        <v>1.99</v>
      </c>
      <c r="C36" s="6" t="n"/>
      <c r="D36" s="7" t="inlineStr">
        <is>
          <t>$1.99 per 50-query pack</t>
        </is>
      </c>
    </row>
    <row r="37">
      <c r="A37" s="4" t="inlineStr">
        <is>
          <t>AI Pack Attach Rate (% of free users/mo)</t>
        </is>
      </c>
      <c r="B37" s="8" t="n">
        <v>0.02</v>
      </c>
      <c r="C37" s="6" t="n"/>
      <c r="D37" s="7" t="inlineStr">
        <is>
          <t>2% of free users buy a pack monthly</t>
        </is>
      </c>
    </row>
    <row r="38">
      <c r="A38" s="4" t="inlineStr">
        <is>
          <t>AI Pack Attach Rate (% of Pro users/mo)</t>
        </is>
      </c>
      <c r="B38" s="8" t="n">
        <v>0.08</v>
      </c>
      <c r="C38" s="6" t="n"/>
      <c r="D38" s="7" t="inlineStr">
        <is>
          <t>8% of Pro users buy extra packs</t>
        </is>
      </c>
    </row>
    <row r="39">
      <c r="A39" s="4" t="inlineStr">
        <is>
          <t>Draft Kit Price (seasonal)</t>
        </is>
      </c>
      <c r="B39" s="9" t="n">
        <v>4.99</v>
      </c>
      <c r="C39" s="6" t="n"/>
      <c r="D39" s="7" t="inlineStr">
        <is>
          <t>$4.99 one-time per season</t>
        </is>
      </c>
    </row>
    <row r="40">
      <c r="A40" s="4" t="inlineStr">
        <is>
          <t>Draft Kit Attach Rate (% of all users)</t>
        </is>
      </c>
      <c r="B40" s="8" t="n">
        <v>0.06</v>
      </c>
      <c r="C40" s="6" t="n"/>
      <c r="D40" s="7" t="inlineStr">
        <is>
          <t>6% of users buy draft kit at season start</t>
        </is>
      </c>
    </row>
    <row r="42">
      <c r="A42" s="3" t="inlineStr">
        <is>
          <t>DFS EXPANSION (Year 2+)</t>
        </is>
      </c>
      <c r="D42" s="2" t="inlineStr"/>
    </row>
    <row r="43">
      <c r="A43" s="4" t="inlineStr">
        <is>
          <t>DFS Rake %</t>
        </is>
      </c>
      <c r="B43" s="8" t="n">
        <v>0.12</v>
      </c>
      <c r="C43" s="6" t="n"/>
      <c r="D43" s="7" t="inlineStr">
        <is>
          <t>12% — Pitch Deck</t>
        </is>
      </c>
    </row>
    <row r="44">
      <c r="A44" s="4" t="inlineStr">
        <is>
          <t>DFS Avg Entry Fee</t>
        </is>
      </c>
      <c r="B44" s="9" t="n">
        <v>5</v>
      </c>
      <c r="C44" s="6" t="n"/>
      <c r="D44" s="7" t="inlineStr">
        <is>
          <t>$5 average contest entry</t>
        </is>
      </c>
    </row>
    <row r="45">
      <c r="A45" s="4" t="inlineStr">
        <is>
          <t>DFS Participation Rate (% of users)</t>
        </is>
      </c>
      <c r="B45" s="8" t="n">
        <v>0.1</v>
      </c>
      <c r="C45" s="6" t="n"/>
      <c r="D45" s="7" t="inlineStr">
        <is>
          <t>10% of users play DFS contests</t>
        </is>
      </c>
    </row>
    <row r="46">
      <c r="A46" s="4" t="inlineStr">
        <is>
          <t>DFS Avg Entries Per User Per Month</t>
        </is>
      </c>
      <c r="B46" s="11" t="n">
        <v>4</v>
      </c>
      <c r="C46" s="6" t="n"/>
      <c r="D46" s="7" t="inlineStr">
        <is>
          <t>4 entries/month for active DFS users</t>
        </is>
      </c>
    </row>
    <row r="47">
      <c r="A47" s="4" t="inlineStr">
        <is>
          <t>DFS Launch Month</t>
        </is>
      </c>
      <c r="B47" s="11" t="n">
        <v>19</v>
      </c>
      <c r="C47" s="6" t="n"/>
      <c r="D47" s="7" t="inlineStr">
        <is>
          <t>Month 19 (Oct 2027) — Season 2 start</t>
        </is>
      </c>
    </row>
    <row r="49">
      <c r="A49" s="3" t="inlineStr">
        <is>
          <t>ADVERTISING REVENUE</t>
        </is>
      </c>
      <c r="D49" s="2" t="inlineStr"/>
    </row>
    <row r="50">
      <c r="A50" s="4" t="inlineStr">
        <is>
          <t>Ad RPM (Revenue Per 1K Impressions)</t>
        </is>
      </c>
      <c r="B50" s="9" t="n">
        <v>8</v>
      </c>
      <c r="C50" s="6" t="n"/>
      <c r="D50" s="7" t="inlineStr">
        <is>
          <t>$8 RPM — Sports/gaming vertical</t>
        </is>
      </c>
    </row>
    <row r="51">
      <c r="A51" s="4" t="inlineStr">
        <is>
          <t>Avg Monthly Pageviews Per Free User</t>
        </is>
      </c>
      <c r="B51" s="11" t="n">
        <v>120</v>
      </c>
      <c r="C51" s="6" t="n"/>
      <c r="D51" s="7" t="inlineStr">
        <is>
          <t>120 pageviews/mo for active free users</t>
        </is>
      </c>
    </row>
    <row r="52">
      <c r="A52" s="4" t="inlineStr">
        <is>
          <t>Ad Eligible Users (% of free)</t>
        </is>
      </c>
      <c r="B52" s="8" t="n">
        <v>0.85</v>
      </c>
      <c r="C52" s="6" t="n"/>
      <c r="D52" s="7" t="inlineStr">
        <is>
          <t>85% of free users see ads (some use blockers)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6741"/>
    <outlinePr summaryBelow="1" summaryRight="1"/>
    <pageSetUpPr/>
  </sheetPr>
  <dimension ref="A1:Z20"/>
  <sheetViews>
    <sheetView workbookViewId="0">
      <selection activeCell="A1" sqref="A1"/>
    </sheetView>
  </sheetViews>
  <sheetFormatPr baseColWidth="8" defaultRowHeight="15"/>
  <cols>
    <col width="3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USER GROWTH MODEL — Monthly (Apr 2026 – Mar 2028)</t>
        </is>
      </c>
    </row>
    <row r="2">
      <c r="A2" s="2" t="inlineStr">
        <is>
          <t>Growth gates from Pitch Deck: 1K → 10K → 25K → 100K</t>
        </is>
      </c>
    </row>
    <row r="4">
      <c r="A4" s="12" t="inlineStr">
        <is>
          <t>Metric</t>
        </is>
      </c>
      <c r="B4" s="12" t="inlineStr">
        <is>
          <t>Apr-26</t>
        </is>
      </c>
      <c r="C4" s="12" t="inlineStr">
        <is>
          <t>May-26</t>
        </is>
      </c>
      <c r="D4" s="12" t="inlineStr">
        <is>
          <t>Jun-26</t>
        </is>
      </c>
      <c r="E4" s="12" t="inlineStr">
        <is>
          <t>Jul-26</t>
        </is>
      </c>
      <c r="F4" s="12" t="inlineStr">
        <is>
          <t>Aug-26</t>
        </is>
      </c>
      <c r="G4" s="12" t="inlineStr">
        <is>
          <t>Sep-26</t>
        </is>
      </c>
      <c r="H4" s="12" t="inlineStr">
        <is>
          <t>Oct-26</t>
        </is>
      </c>
      <c r="I4" s="12" t="inlineStr">
        <is>
          <t>Nov-26</t>
        </is>
      </c>
      <c r="J4" s="12" t="inlineStr">
        <is>
          <t>Dec-26</t>
        </is>
      </c>
      <c r="K4" s="12" t="inlineStr">
        <is>
          <t>Jan-27</t>
        </is>
      </c>
      <c r="L4" s="12" t="inlineStr">
        <is>
          <t>Feb-27</t>
        </is>
      </c>
      <c r="M4" s="12" t="inlineStr">
        <is>
          <t>Mar-27</t>
        </is>
      </c>
      <c r="N4" s="12" t="inlineStr">
        <is>
          <t>Apr-27</t>
        </is>
      </c>
      <c r="O4" s="12" t="inlineStr">
        <is>
          <t>May-27</t>
        </is>
      </c>
      <c r="P4" s="12" t="inlineStr">
        <is>
          <t>Jun-27</t>
        </is>
      </c>
      <c r="Q4" s="12" t="inlineStr">
        <is>
          <t>Jul-27</t>
        </is>
      </c>
      <c r="R4" s="12" t="inlineStr">
        <is>
          <t>Aug-27</t>
        </is>
      </c>
      <c r="S4" s="12" t="inlineStr">
        <is>
          <t>Sep-27</t>
        </is>
      </c>
      <c r="T4" s="12" t="inlineStr">
        <is>
          <t>Oct-27</t>
        </is>
      </c>
      <c r="U4" s="12" t="inlineStr">
        <is>
          <t>Nov-27</t>
        </is>
      </c>
      <c r="V4" s="12" t="inlineStr">
        <is>
          <t>Dec-27</t>
        </is>
      </c>
      <c r="W4" s="12" t="inlineStr">
        <is>
          <t>Jan-28</t>
        </is>
      </c>
      <c r="X4" s="12" t="inlineStr">
        <is>
          <t>Feb-28</t>
        </is>
      </c>
      <c r="Y4" s="12" t="inlineStr">
        <is>
          <t>Mar-28</t>
        </is>
      </c>
    </row>
    <row r="5">
      <c r="A5" s="4" t="inlineStr">
        <is>
          <t>New Users Acquired</t>
        </is>
      </c>
      <c r="B5" s="13" t="n">
        <v>150</v>
      </c>
      <c r="C5" s="13" t="n">
        <v>200</v>
      </c>
      <c r="D5" s="13" t="n">
        <v>250</v>
      </c>
      <c r="E5" s="13" t="n">
        <v>300</v>
      </c>
      <c r="F5" s="13" t="n">
        <v>400</v>
      </c>
      <c r="G5" s="13" t="n">
        <v>500</v>
      </c>
      <c r="H5" s="13" t="n">
        <v>2000</v>
      </c>
      <c r="I5" s="13" t="n">
        <v>2500</v>
      </c>
      <c r="J5" s="13" t="n">
        <v>2200</v>
      </c>
      <c r="K5" s="13" t="n">
        <v>1800</v>
      </c>
      <c r="L5" s="13" t="n">
        <v>1500</v>
      </c>
      <c r="M5" s="13" t="n">
        <v>1200</v>
      </c>
      <c r="N5" s="13" t="n">
        <v>1200</v>
      </c>
      <c r="O5" s="13" t="n">
        <v>1000</v>
      </c>
      <c r="P5" s="13" t="n">
        <v>900</v>
      </c>
      <c r="Q5" s="13" t="n">
        <v>1200</v>
      </c>
      <c r="R5" s="13" t="n">
        <v>2000</v>
      </c>
      <c r="S5" s="13" t="n">
        <v>3500</v>
      </c>
      <c r="T5" s="13" t="n">
        <v>17000</v>
      </c>
      <c r="U5" s="13" t="n">
        <v>20000</v>
      </c>
      <c r="V5" s="13" t="n">
        <v>20000</v>
      </c>
      <c r="W5" s="13" t="n">
        <v>18000</v>
      </c>
      <c r="X5" s="13" t="n">
        <v>16000</v>
      </c>
      <c r="Y5" s="13" t="n">
        <v>13000</v>
      </c>
    </row>
    <row r="7">
      <c r="A7" s="4" t="inlineStr">
        <is>
          <t>Free Users (End of Month)</t>
        </is>
      </c>
      <c r="B7" s="13" t="n">
        <v>150</v>
      </c>
      <c r="C7" s="13" t="n">
        <v>324.92</v>
      </c>
      <c r="D7" s="13" t="n">
        <v>520.5933759999999</v>
      </c>
      <c r="E7" s="13" t="n">
        <v>733.5501635328</v>
      </c>
      <c r="F7" s="13" t="n">
        <v>1010.900576190116</v>
      </c>
      <c r="G7" s="13" t="n">
        <v>1341.877999851129</v>
      </c>
      <c r="H7" s="13" t="n">
        <v>3157.503962671583</v>
      </c>
      <c r="I7" s="13" t="n">
        <v>5223.662918200508</v>
      </c>
      <c r="J7" s="13" t="n">
        <v>6705.931633239758</v>
      </c>
      <c r="K7" s="13" t="n">
        <v>7584.536626832615</v>
      </c>
      <c r="L7" s="13" t="n">
        <v>8042.421294305813</v>
      </c>
      <c r="M7" s="13" t="n">
        <v>8137.392608468194</v>
      </c>
      <c r="N7" s="13" t="n">
        <v>7888.936724160856</v>
      </c>
      <c r="O7" s="13" t="n">
        <v>7484.705987260223</v>
      </c>
      <c r="P7" s="13" t="n">
        <v>7052.428321527902</v>
      </c>
      <c r="Q7" s="13" t="n">
        <v>6997.096080295936</v>
      </c>
      <c r="R7" s="13" t="n">
        <v>7751.612978003259</v>
      </c>
      <c r="S7" s="13" t="n">
        <v>9871.825867918678</v>
      </c>
      <c r="T7" s="13" t="n">
        <v>25035.66625648581</v>
      </c>
      <c r="U7" s="13" t="n">
        <v>40379.03233277945</v>
      </c>
      <c r="V7" s="13" t="n">
        <v>52868.53231888247</v>
      </c>
      <c r="W7" s="13" t="n">
        <v>61034.98530757033</v>
      </c>
      <c r="X7" s="13" t="n">
        <v>65682.47804036226</v>
      </c>
      <c r="Y7" s="13" t="n">
        <v>66465.53712485488</v>
      </c>
    </row>
    <row r="8">
      <c r="A8" s="4" t="inlineStr">
        <is>
          <t>Pro Subscribers</t>
        </is>
      </c>
      <c r="B8" s="13" t="n">
        <v>0</v>
      </c>
      <c r="C8" s="13" t="n">
        <v>2.1</v>
      </c>
      <c r="D8" s="13" t="n">
        <v>6.39688</v>
      </c>
      <c r="E8" s="13" t="n">
        <v>12.917561664</v>
      </c>
      <c r="F8" s="13" t="n">
        <v>21.6371565537792</v>
      </c>
      <c r="G8" s="13" t="n">
        <v>33.19330583398732</v>
      </c>
      <c r="H8" s="13" t="n">
        <v>116.4038875912489</v>
      </c>
      <c r="I8" s="13" t="n">
        <v>310.6704817359088</v>
      </c>
      <c r="J8" s="13" t="n">
        <v>627.3344263131045</v>
      </c>
      <c r="K8" s="13" t="n">
        <v>1024.714742154685</v>
      </c>
      <c r="L8" s="13" t="n">
        <v>1461.551959958952</v>
      </c>
      <c r="M8" s="13" t="n">
        <v>1909.762423101861</v>
      </c>
      <c r="N8" s="13" t="n">
        <v>1859.613569715938</v>
      </c>
      <c r="O8" s="13" t="n">
        <v>1810.016549281564</v>
      </c>
      <c r="P8" s="13" t="n">
        <v>1757.478095087501</v>
      </c>
      <c r="Q8" s="13" t="n">
        <v>1701.734146750615</v>
      </c>
      <c r="R8" s="13" t="n">
        <v>1651.462162907052</v>
      </c>
      <c r="S8" s="13" t="n">
        <v>1623.822188874277</v>
      </c>
      <c r="T8" s="13" t="n">
        <v>2536.180062243255</v>
      </c>
      <c r="U8" s="13" t="n">
        <v>4913.263819145619</v>
      </c>
      <c r="V8" s="13" t="n">
        <v>8714.257467324958</v>
      </c>
      <c r="W8" s="13" t="n">
        <v>13599.67186820133</v>
      </c>
      <c r="X8" s="13" t="n">
        <v>19098.14853892273</v>
      </c>
      <c r="Y8" s="13" t="n">
        <v>24836.78792336169</v>
      </c>
    </row>
    <row r="9">
      <c r="A9" s="4" t="inlineStr">
        <is>
          <t>Commissioner Subscribers</t>
        </is>
      </c>
      <c r="B9" s="13" t="n">
        <v>0</v>
      </c>
      <c r="C9" s="13" t="n">
        <v>0.48</v>
      </c>
      <c r="D9" s="13" t="n">
        <v>1.481344</v>
      </c>
      <c r="E9" s="13" t="n">
        <v>3.0287352832</v>
      </c>
      <c r="F9" s="13" t="n">
        <v>5.13379698384896</v>
      </c>
      <c r="G9" s="13" t="n">
        <v>7.957975068949414</v>
      </c>
      <c r="H9" s="13" t="n">
        <v>27.08206889008193</v>
      </c>
      <c r="I9" s="13" t="n">
        <v>71.87307423030069</v>
      </c>
      <c r="J9" s="13" t="n">
        <v>145.2969933966305</v>
      </c>
      <c r="K9" s="13" t="n">
        <v>238.2299840803673</v>
      </c>
      <c r="L9" s="13" t="n">
        <v>341.4915619047478</v>
      </c>
      <c r="M9" s="13" t="n">
        <v>448.7651394951328</v>
      </c>
      <c r="N9" s="13" t="n">
        <v>461.6882839863314</v>
      </c>
      <c r="O9" s="13" t="n">
        <v>472.08684161239</v>
      </c>
      <c r="P9" s="13" t="n">
        <v>479.2281302069602</v>
      </c>
      <c r="Q9" s="13" t="n">
        <v>483.2044497195707</v>
      </c>
      <c r="R9" s="13" t="n">
        <v>486.5306702237807</v>
      </c>
      <c r="S9" s="13" t="n">
        <v>494.1178944738978</v>
      </c>
      <c r="T9" s="13" t="n">
        <v>748.3042455458548</v>
      </c>
      <c r="U9" s="13" t="n">
        <v>1405.559628332325</v>
      </c>
      <c r="V9" s="13" t="n">
        <v>2460.654510609062</v>
      </c>
      <c r="W9" s="13" t="n">
        <v>3826.588520453663</v>
      </c>
      <c r="X9" s="13" t="n">
        <v>5378.86841074672</v>
      </c>
      <c r="Y9" s="13" t="n">
        <v>7017.823607567832</v>
      </c>
    </row>
    <row r="10">
      <c r="A10" s="14" t="inlineStr">
        <is>
          <t>TOTAL USERS</t>
        </is>
      </c>
      <c r="B10" s="15" t="n">
        <v>150</v>
      </c>
      <c r="C10" s="15" t="n">
        <v>327.5</v>
      </c>
      <c r="D10" s="15" t="n">
        <v>528.4716</v>
      </c>
      <c r="E10" s="15" t="n">
        <v>749.49646048</v>
      </c>
      <c r="F10" s="15" t="n">
        <v>1037.671529727744</v>
      </c>
      <c r="G10" s="15" t="n">
        <v>1383.029280754065</v>
      </c>
      <c r="H10" s="15" t="n">
        <v>3300.989919152914</v>
      </c>
      <c r="I10" s="15" t="n">
        <v>5606.206474166717</v>
      </c>
      <c r="J10" s="15" t="n">
        <v>7478.563052949494</v>
      </c>
      <c r="K10" s="15" t="n">
        <v>8847.481353067669</v>
      </c>
      <c r="L10" s="15" t="n">
        <v>9845.464816169513</v>
      </c>
      <c r="M10" s="15" t="n">
        <v>10495.92017106519</v>
      </c>
      <c r="N10" s="15" t="n">
        <v>10210.23857786313</v>
      </c>
      <c r="O10" s="15" t="n">
        <v>9766.809378154177</v>
      </c>
      <c r="P10" s="15" t="n">
        <v>9289.134546822364</v>
      </c>
      <c r="Q10" s="15" t="n">
        <v>9182.034676766121</v>
      </c>
      <c r="R10" s="15" t="n">
        <v>9889.605811134092</v>
      </c>
      <c r="S10" s="15" t="n">
        <v>11989.76595126685</v>
      </c>
      <c r="T10" s="15" t="n">
        <v>28320.15056427492</v>
      </c>
      <c r="U10" s="15" t="n">
        <v>46697.85578025739</v>
      </c>
      <c r="V10" s="15" t="n">
        <v>64043.44429681649</v>
      </c>
      <c r="W10" s="15" t="n">
        <v>78461.24569622532</v>
      </c>
      <c r="X10" s="15" t="n">
        <v>90159.4949900317</v>
      </c>
      <c r="Y10" s="15" t="n">
        <v>98320.14865578439</v>
      </c>
    </row>
    <row r="12">
      <c r="A12" s="4" t="inlineStr">
        <is>
          <t>Pro Conversion Rate (effective)</t>
        </is>
      </c>
      <c r="B12" s="16" t="n">
        <v>0.014</v>
      </c>
      <c r="C12" s="16" t="n">
        <v>0.014</v>
      </c>
      <c r="D12" s="16" t="n">
        <v>0.014</v>
      </c>
      <c r="E12" s="16" t="n">
        <v>0.014</v>
      </c>
      <c r="F12" s="16" t="n">
        <v>0.014</v>
      </c>
      <c r="G12" s="16" t="n">
        <v>0.014</v>
      </c>
      <c r="H12" s="16" t="n">
        <v>0.06300000000000001</v>
      </c>
      <c r="I12" s="16" t="n">
        <v>0.06300000000000001</v>
      </c>
      <c r="J12" s="16" t="n">
        <v>0.06300000000000001</v>
      </c>
      <c r="K12" s="16" t="n">
        <v>0.06300000000000001</v>
      </c>
      <c r="L12" s="16" t="n">
        <v>0.06300000000000001</v>
      </c>
      <c r="M12" s="16" t="n">
        <v>0.06300000000000001</v>
      </c>
      <c r="N12" s="16" t="n">
        <v>0.022</v>
      </c>
      <c r="O12" s="16" t="n">
        <v>0.022</v>
      </c>
      <c r="P12" s="16" t="n">
        <v>0.022</v>
      </c>
      <c r="Q12" s="16" t="n">
        <v>0.022</v>
      </c>
      <c r="R12" s="16" t="n">
        <v>0.022</v>
      </c>
      <c r="S12" s="16" t="n">
        <v>0.022</v>
      </c>
      <c r="T12" s="16" t="n">
        <v>0.099</v>
      </c>
      <c r="U12" s="16" t="n">
        <v>0.099</v>
      </c>
      <c r="V12" s="16" t="n">
        <v>0.099</v>
      </c>
      <c r="W12" s="16" t="n">
        <v>0.099</v>
      </c>
      <c r="X12" s="16" t="n">
        <v>0.099</v>
      </c>
      <c r="Y12" s="16" t="n">
        <v>0.099</v>
      </c>
    </row>
    <row r="13">
      <c r="A13" s="4" t="inlineStr">
        <is>
          <t>Commissioner Conv Rate (effective)</t>
        </is>
      </c>
      <c r="B13" s="16" t="n">
        <v>0.0032</v>
      </c>
      <c r="C13" s="16" t="n">
        <v>0.0032</v>
      </c>
      <c r="D13" s="16" t="n">
        <v>0.0032</v>
      </c>
      <c r="E13" s="16" t="n">
        <v>0.0032</v>
      </c>
      <c r="F13" s="16" t="n">
        <v>0.0032</v>
      </c>
      <c r="G13" s="16" t="n">
        <v>0.0032</v>
      </c>
      <c r="H13" s="16" t="n">
        <v>0.0144</v>
      </c>
      <c r="I13" s="16" t="n">
        <v>0.0144</v>
      </c>
      <c r="J13" s="16" t="n">
        <v>0.0144</v>
      </c>
      <c r="K13" s="16" t="n">
        <v>0.0144</v>
      </c>
      <c r="L13" s="16" t="n">
        <v>0.0144</v>
      </c>
      <c r="M13" s="16" t="n">
        <v>0.0144</v>
      </c>
      <c r="N13" s="16" t="n">
        <v>0.006</v>
      </c>
      <c r="O13" s="16" t="n">
        <v>0.006</v>
      </c>
      <c r="P13" s="16" t="n">
        <v>0.006</v>
      </c>
      <c r="Q13" s="16" t="n">
        <v>0.006</v>
      </c>
      <c r="R13" s="16" t="n">
        <v>0.006</v>
      </c>
      <c r="S13" s="16" t="n">
        <v>0.006</v>
      </c>
      <c r="T13" s="16" t="n">
        <v>0.027</v>
      </c>
      <c r="U13" s="16" t="n">
        <v>0.027</v>
      </c>
      <c r="V13" s="16" t="n">
        <v>0.027</v>
      </c>
      <c r="W13" s="16" t="n">
        <v>0.027</v>
      </c>
      <c r="X13" s="16" t="n">
        <v>0.027</v>
      </c>
      <c r="Y13" s="16" t="n">
        <v>0.027</v>
      </c>
    </row>
    <row r="15">
      <c r="A15" s="4" t="inlineStr">
        <is>
          <t>Free Churn Rate</t>
        </is>
      </c>
      <c r="B15" s="16" t="n">
        <v>0.15</v>
      </c>
      <c r="C15" s="16" t="n">
        <v>0.15</v>
      </c>
      <c r="D15" s="16" t="n">
        <v>0.15</v>
      </c>
      <c r="E15" s="16" t="n">
        <v>0.15</v>
      </c>
      <c r="F15" s="16" t="n">
        <v>0.15</v>
      </c>
      <c r="G15" s="16" t="n">
        <v>0.15</v>
      </c>
      <c r="H15" s="16" t="n">
        <v>0.06</v>
      </c>
      <c r="I15" s="16" t="n">
        <v>0.06</v>
      </c>
      <c r="J15" s="16" t="n">
        <v>0.06</v>
      </c>
      <c r="K15" s="16" t="n">
        <v>0.06</v>
      </c>
      <c r="L15" s="16" t="n">
        <v>0.06</v>
      </c>
      <c r="M15" s="16" t="n">
        <v>0.06</v>
      </c>
      <c r="N15" s="16" t="n">
        <v>0.15</v>
      </c>
      <c r="O15" s="16" t="n">
        <v>0.15</v>
      </c>
      <c r="P15" s="16" t="n">
        <v>0.15</v>
      </c>
      <c r="Q15" s="16" t="n">
        <v>0.15</v>
      </c>
      <c r="R15" s="16" t="n">
        <v>0.15</v>
      </c>
      <c r="S15" s="16" t="n">
        <v>0.15</v>
      </c>
      <c r="T15" s="16" t="n">
        <v>0.06</v>
      </c>
      <c r="U15" s="16" t="n">
        <v>0.06</v>
      </c>
      <c r="V15" s="16" t="n">
        <v>0.06</v>
      </c>
      <c r="W15" s="16" t="n">
        <v>0.06</v>
      </c>
      <c r="X15" s="16" t="n">
        <v>0.06</v>
      </c>
      <c r="Y15" s="16" t="n">
        <v>0.06</v>
      </c>
    </row>
    <row r="16">
      <c r="A16" s="4" t="inlineStr">
        <is>
          <t>Pro Churn Rate</t>
        </is>
      </c>
      <c r="B16" s="16" t="n">
        <v>0.12</v>
      </c>
      <c r="C16" s="16" t="n">
        <v>0.12</v>
      </c>
      <c r="D16" s="16" t="n">
        <v>0.12</v>
      </c>
      <c r="E16" s="16" t="n">
        <v>0.12</v>
      </c>
      <c r="F16" s="16" t="n">
        <v>0.12</v>
      </c>
      <c r="G16" s="16" t="n">
        <v>0.12</v>
      </c>
      <c r="H16" s="16" t="n">
        <v>0.04</v>
      </c>
      <c r="I16" s="16" t="n">
        <v>0.04</v>
      </c>
      <c r="J16" s="16" t="n">
        <v>0.04</v>
      </c>
      <c r="K16" s="16" t="n">
        <v>0.04</v>
      </c>
      <c r="L16" s="16" t="n">
        <v>0.04</v>
      </c>
      <c r="M16" s="16" t="n">
        <v>0.04</v>
      </c>
      <c r="N16" s="16" t="n">
        <v>0.12</v>
      </c>
      <c r="O16" s="16" t="n">
        <v>0.12</v>
      </c>
      <c r="P16" s="16" t="n">
        <v>0.12</v>
      </c>
      <c r="Q16" s="16" t="n">
        <v>0.12</v>
      </c>
      <c r="R16" s="16" t="n">
        <v>0.12</v>
      </c>
      <c r="S16" s="16" t="n">
        <v>0.12</v>
      </c>
      <c r="T16" s="16" t="n">
        <v>0.04</v>
      </c>
      <c r="U16" s="16" t="n">
        <v>0.04</v>
      </c>
      <c r="V16" s="16" t="n">
        <v>0.04</v>
      </c>
      <c r="W16" s="16" t="n">
        <v>0.04</v>
      </c>
      <c r="X16" s="16" t="n">
        <v>0.04</v>
      </c>
      <c r="Y16" s="16" t="n">
        <v>0.04</v>
      </c>
    </row>
    <row r="17">
      <c r="A17" s="4" t="inlineStr">
        <is>
          <t>Commissioner Churn Rate</t>
        </is>
      </c>
      <c r="B17" s="16" t="n">
        <v>0.08</v>
      </c>
      <c r="C17" s="16" t="n">
        <v>0.08</v>
      </c>
      <c r="D17" s="16" t="n">
        <v>0.08</v>
      </c>
      <c r="E17" s="16" t="n">
        <v>0.08</v>
      </c>
      <c r="F17" s="16" t="n">
        <v>0.08</v>
      </c>
      <c r="G17" s="16" t="n">
        <v>0.08</v>
      </c>
      <c r="H17" s="16" t="n">
        <v>0.025</v>
      </c>
      <c r="I17" s="16" t="n">
        <v>0.025</v>
      </c>
      <c r="J17" s="16" t="n">
        <v>0.025</v>
      </c>
      <c r="K17" s="16" t="n">
        <v>0.025</v>
      </c>
      <c r="L17" s="16" t="n">
        <v>0.025</v>
      </c>
      <c r="M17" s="16" t="n">
        <v>0.025</v>
      </c>
      <c r="N17" s="16" t="n">
        <v>0.08</v>
      </c>
      <c r="O17" s="16" t="n">
        <v>0.08</v>
      </c>
      <c r="P17" s="16" t="n">
        <v>0.08</v>
      </c>
      <c r="Q17" s="16" t="n">
        <v>0.08</v>
      </c>
      <c r="R17" s="16" t="n">
        <v>0.08</v>
      </c>
      <c r="S17" s="16" t="n">
        <v>0.08</v>
      </c>
      <c r="T17" s="16" t="n">
        <v>0.025</v>
      </c>
      <c r="U17" s="16" t="n">
        <v>0.025</v>
      </c>
      <c r="V17" s="16" t="n">
        <v>0.025</v>
      </c>
      <c r="W17" s="16" t="n">
        <v>0.025</v>
      </c>
      <c r="X17" s="16" t="n">
        <v>0.025</v>
      </c>
      <c r="Y17" s="16" t="n">
        <v>0.025</v>
      </c>
    </row>
    <row r="19">
      <c r="A19" s="4" t="inlineStr">
        <is>
          <t>NHL Season Status</t>
        </is>
      </c>
      <c r="B19" s="17" t="inlineStr">
        <is>
          <t>OFF-SEASON</t>
        </is>
      </c>
      <c r="C19" s="17" t="inlineStr">
        <is>
          <t>OFF-SEASON</t>
        </is>
      </c>
      <c r="D19" s="17" t="inlineStr">
        <is>
          <t>OFF-SEASON</t>
        </is>
      </c>
      <c r="E19" s="17" t="inlineStr">
        <is>
          <t>OFF-SEASON</t>
        </is>
      </c>
      <c r="F19" s="17" t="inlineStr">
        <is>
          <t>OFF-SEASON</t>
        </is>
      </c>
      <c r="G19" s="17" t="inlineStr">
        <is>
          <t>OFF-SEASON</t>
        </is>
      </c>
      <c r="H19" s="18" t="inlineStr">
        <is>
          <t>IN-SEASON</t>
        </is>
      </c>
      <c r="I19" s="18" t="inlineStr">
        <is>
          <t>IN-SEASON</t>
        </is>
      </c>
      <c r="J19" s="18" t="inlineStr">
        <is>
          <t>IN-SEASON</t>
        </is>
      </c>
      <c r="K19" s="18" t="inlineStr">
        <is>
          <t>IN-SEASON</t>
        </is>
      </c>
      <c r="L19" s="18" t="inlineStr">
        <is>
          <t>IN-SEASON</t>
        </is>
      </c>
      <c r="M19" s="18" t="inlineStr">
        <is>
          <t>IN-SEASON</t>
        </is>
      </c>
      <c r="N19" s="17" t="inlineStr">
        <is>
          <t>OFF-SEASON</t>
        </is>
      </c>
      <c r="O19" s="17" t="inlineStr">
        <is>
          <t>OFF-SEASON</t>
        </is>
      </c>
      <c r="P19" s="17" t="inlineStr">
        <is>
          <t>OFF-SEASON</t>
        </is>
      </c>
      <c r="Q19" s="17" t="inlineStr">
        <is>
          <t>OFF-SEASON</t>
        </is>
      </c>
      <c r="R19" s="17" t="inlineStr">
        <is>
          <t>OFF-SEASON</t>
        </is>
      </c>
      <c r="S19" s="17" t="inlineStr">
        <is>
          <t>OFF-SEASON</t>
        </is>
      </c>
      <c r="T19" s="18" t="inlineStr">
        <is>
          <t>IN-SEASON</t>
        </is>
      </c>
      <c r="U19" s="18" t="inlineStr">
        <is>
          <t>IN-SEASON</t>
        </is>
      </c>
      <c r="V19" s="18" t="inlineStr">
        <is>
          <t>IN-SEASON</t>
        </is>
      </c>
      <c r="W19" s="18" t="inlineStr">
        <is>
          <t>IN-SEASON</t>
        </is>
      </c>
      <c r="X19" s="18" t="inlineStr">
        <is>
          <t>IN-SEASON</t>
        </is>
      </c>
      <c r="Y19" s="18" t="inlineStr">
        <is>
          <t>IN-SEASON</t>
        </is>
      </c>
    </row>
    <row r="20">
      <c r="A20" s="4" t="inlineStr">
        <is>
          <t>Premium % of Total</t>
        </is>
      </c>
      <c r="B20" s="19" t="n">
        <v>0</v>
      </c>
      <c r="C20" s="19" t="n">
        <v>0.7877862595419848</v>
      </c>
      <c r="D20" s="19" t="n">
        <v>1.490756362309725</v>
      </c>
      <c r="E20" s="19" t="n">
        <v>2.127601368122207</v>
      </c>
      <c r="F20" s="19" t="n">
        <v>2.579906335548409</v>
      </c>
      <c r="G20" s="19" t="n">
        <v>2.975445384677606</v>
      </c>
      <c r="H20" s="19" t="n">
        <v>4.346755367194566</v>
      </c>
      <c r="I20" s="19" t="n">
        <v>6.823572369818383</v>
      </c>
      <c r="J20" s="19" t="n">
        <v>10.33128174810286</v>
      </c>
      <c r="K20" s="19" t="n">
        <v>14.27462433472272</v>
      </c>
      <c r="L20" s="19" t="n">
        <v>18.31344233644008</v>
      </c>
      <c r="M20" s="19" t="n">
        <v>22.47089844584475</v>
      </c>
      <c r="N20" s="19" t="n">
        <v>22.73504028333967</v>
      </c>
      <c r="O20" s="19" t="n">
        <v>23.36590489826112</v>
      </c>
      <c r="P20" s="19" t="n">
        <v>24.07873644224043</v>
      </c>
      <c r="Q20" s="19" t="n">
        <v>23.79579987863554</v>
      </c>
      <c r="R20" s="19" t="n">
        <v>21.6185849462655</v>
      </c>
      <c r="S20" s="19" t="n">
        <v>17.66456569675066</v>
      </c>
      <c r="T20" s="19" t="n">
        <v>11.59769366456828</v>
      </c>
      <c r="U20" s="19" t="n">
        <v>13.53129247992019</v>
      </c>
      <c r="V20" s="19" t="n">
        <v>17.4489553156177</v>
      </c>
      <c r="W20" s="19" t="n">
        <v>22.21002258379049</v>
      </c>
      <c r="X20" s="19" t="n">
        <v>27.14857370527164</v>
      </c>
      <c r="Y20" s="19" t="n">
        <v>32.39886428818519</v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702A"/>
    <outlinePr summaryBelow="1" summaryRight="1"/>
    <pageSetUpPr/>
  </sheetPr>
  <dimension ref="A1:Z23"/>
  <sheetViews>
    <sheetView workbookViewId="0">
      <selection activeCell="A1" sqref="A1"/>
    </sheetView>
  </sheetViews>
  <sheetFormatPr baseColWidth="8" defaultRowHeight="15"/>
  <cols>
    <col width="3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REVENUE MODEL — Monthly Breakdown</t>
        </is>
      </c>
    </row>
    <row r="2">
      <c r="A2" s="2" t="inlineStr">
        <is>
          <t>Subscriptions + Pay-Per-Use + DFS + Advertising</t>
        </is>
      </c>
    </row>
    <row r="4">
      <c r="A4" s="12" t="inlineStr">
        <is>
          <t>Revenue Stream</t>
        </is>
      </c>
      <c r="B4" s="12" t="inlineStr">
        <is>
          <t>Apr-26</t>
        </is>
      </c>
      <c r="C4" s="12" t="inlineStr">
        <is>
          <t>May-26</t>
        </is>
      </c>
      <c r="D4" s="12" t="inlineStr">
        <is>
          <t>Jun-26</t>
        </is>
      </c>
      <c r="E4" s="12" t="inlineStr">
        <is>
          <t>Jul-26</t>
        </is>
      </c>
      <c r="F4" s="12" t="inlineStr">
        <is>
          <t>Aug-26</t>
        </is>
      </c>
      <c r="G4" s="12" t="inlineStr">
        <is>
          <t>Sep-26</t>
        </is>
      </c>
      <c r="H4" s="12" t="inlineStr">
        <is>
          <t>Oct-26</t>
        </is>
      </c>
      <c r="I4" s="12" t="inlineStr">
        <is>
          <t>Nov-26</t>
        </is>
      </c>
      <c r="J4" s="12" t="inlineStr">
        <is>
          <t>Dec-26</t>
        </is>
      </c>
      <c r="K4" s="12" t="inlineStr">
        <is>
          <t>Jan-27</t>
        </is>
      </c>
      <c r="L4" s="12" t="inlineStr">
        <is>
          <t>Feb-27</t>
        </is>
      </c>
      <c r="M4" s="12" t="inlineStr">
        <is>
          <t>Mar-27</t>
        </is>
      </c>
      <c r="N4" s="12" t="inlineStr">
        <is>
          <t>Apr-27</t>
        </is>
      </c>
      <c r="O4" s="12" t="inlineStr">
        <is>
          <t>May-27</t>
        </is>
      </c>
      <c r="P4" s="12" t="inlineStr">
        <is>
          <t>Jun-27</t>
        </is>
      </c>
      <c r="Q4" s="12" t="inlineStr">
        <is>
          <t>Jul-27</t>
        </is>
      </c>
      <c r="R4" s="12" t="inlineStr">
        <is>
          <t>Aug-27</t>
        </is>
      </c>
      <c r="S4" s="12" t="inlineStr">
        <is>
          <t>Sep-27</t>
        </is>
      </c>
      <c r="T4" s="12" t="inlineStr">
        <is>
          <t>Oct-27</t>
        </is>
      </c>
      <c r="U4" s="12" t="inlineStr">
        <is>
          <t>Nov-27</t>
        </is>
      </c>
      <c r="V4" s="12" t="inlineStr">
        <is>
          <t>Dec-27</t>
        </is>
      </c>
      <c r="W4" s="12" t="inlineStr">
        <is>
          <t>Jan-28</t>
        </is>
      </c>
      <c r="X4" s="12" t="inlineStr">
        <is>
          <t>Feb-28</t>
        </is>
      </c>
      <c r="Y4" s="12" t="inlineStr">
        <is>
          <t>Mar-28</t>
        </is>
      </c>
    </row>
    <row r="5">
      <c r="A5" s="20" t="inlineStr">
        <is>
          <t>SUBSCRIPTIONS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4" t="inlineStr">
        <is>
          <t xml:space="preserve">  Pro Subscriptions ($4.99/mo)</t>
        </is>
      </c>
      <c r="B6" s="13" t="n">
        <v>0</v>
      </c>
      <c r="C6" s="13" t="n">
        <v>10</v>
      </c>
      <c r="D6" s="13" t="n">
        <v>32</v>
      </c>
      <c r="E6" s="13" t="n">
        <v>64</v>
      </c>
      <c r="F6" s="13" t="n">
        <v>108</v>
      </c>
      <c r="G6" s="13" t="n">
        <v>166</v>
      </c>
      <c r="H6" s="13" t="n">
        <v>581</v>
      </c>
      <c r="I6" s="13" t="n">
        <v>1550</v>
      </c>
      <c r="J6" s="13" t="n">
        <v>3130</v>
      </c>
      <c r="K6" s="13" t="n">
        <v>5113</v>
      </c>
      <c r="L6" s="13" t="n">
        <v>7293</v>
      </c>
      <c r="M6" s="13" t="n">
        <v>9530</v>
      </c>
      <c r="N6" s="13" t="n">
        <v>9279</v>
      </c>
      <c r="O6" s="13" t="n">
        <v>9032</v>
      </c>
      <c r="P6" s="13" t="n">
        <v>8770</v>
      </c>
      <c r="Q6" s="13" t="n">
        <v>8492</v>
      </c>
      <c r="R6" s="13" t="n">
        <v>8241</v>
      </c>
      <c r="S6" s="13" t="n">
        <v>8103</v>
      </c>
      <c r="T6" s="13" t="n">
        <v>12656</v>
      </c>
      <c r="U6" s="13" t="n">
        <v>24517</v>
      </c>
      <c r="V6" s="13" t="n">
        <v>43484</v>
      </c>
      <c r="W6" s="13" t="n">
        <v>67862</v>
      </c>
      <c r="X6" s="13" t="n">
        <v>95300</v>
      </c>
      <c r="Y6" s="13" t="n">
        <v>123936</v>
      </c>
    </row>
    <row r="7">
      <c r="A7" s="4" t="inlineStr">
        <is>
          <t xml:space="preserve">  Commissioner Subscriptions ($9.99/mo)</t>
        </is>
      </c>
      <c r="B7" s="13" t="n">
        <v>0</v>
      </c>
      <c r="C7" s="13" t="n">
        <v>5</v>
      </c>
      <c r="D7" s="13" t="n">
        <v>15</v>
      </c>
      <c r="E7" s="13" t="n">
        <v>30</v>
      </c>
      <c r="F7" s="13" t="n">
        <v>51</v>
      </c>
      <c r="G7" s="13" t="n">
        <v>80</v>
      </c>
      <c r="H7" s="13" t="n">
        <v>271</v>
      </c>
      <c r="I7" s="13" t="n">
        <v>718</v>
      </c>
      <c r="J7" s="13" t="n">
        <v>1452</v>
      </c>
      <c r="K7" s="13" t="n">
        <v>2380</v>
      </c>
      <c r="L7" s="13" t="n">
        <v>3412</v>
      </c>
      <c r="M7" s="13" t="n">
        <v>4483</v>
      </c>
      <c r="N7" s="13" t="n">
        <v>4612</v>
      </c>
      <c r="O7" s="13" t="n">
        <v>4716</v>
      </c>
      <c r="P7" s="13" t="n">
        <v>4787</v>
      </c>
      <c r="Q7" s="13" t="n">
        <v>4827</v>
      </c>
      <c r="R7" s="13" t="n">
        <v>4860</v>
      </c>
      <c r="S7" s="13" t="n">
        <v>4936</v>
      </c>
      <c r="T7" s="13" t="n">
        <v>7476</v>
      </c>
      <c r="U7" s="13" t="n">
        <v>14042</v>
      </c>
      <c r="V7" s="13" t="n">
        <v>24582</v>
      </c>
      <c r="W7" s="13" t="n">
        <v>38228</v>
      </c>
      <c r="X7" s="13" t="n">
        <v>53735</v>
      </c>
      <c r="Y7" s="13" t="n">
        <v>70108</v>
      </c>
    </row>
    <row r="8">
      <c r="A8" s="22" t="inlineStr">
        <is>
          <t>Subscription Subtotal</t>
        </is>
      </c>
      <c r="B8" s="23" t="n">
        <v>0</v>
      </c>
      <c r="C8" s="23" t="n">
        <v>15</v>
      </c>
      <c r="D8" s="23" t="n">
        <v>47</v>
      </c>
      <c r="E8" s="23" t="n">
        <v>95</v>
      </c>
      <c r="F8" s="23" t="n">
        <v>159</v>
      </c>
      <c r="G8" s="23" t="n">
        <v>245</v>
      </c>
      <c r="H8" s="23" t="n">
        <v>851</v>
      </c>
      <c r="I8" s="23" t="n">
        <v>2268</v>
      </c>
      <c r="J8" s="23" t="n">
        <v>4582</v>
      </c>
      <c r="K8" s="23" t="n">
        <v>7493</v>
      </c>
      <c r="L8" s="23" t="n">
        <v>10705</v>
      </c>
      <c r="M8" s="23" t="n">
        <v>14013</v>
      </c>
      <c r="N8" s="23" t="n">
        <v>13892</v>
      </c>
      <c r="O8" s="23" t="n">
        <v>13748</v>
      </c>
      <c r="P8" s="23" t="n">
        <v>13557</v>
      </c>
      <c r="Q8" s="23" t="n">
        <v>13319</v>
      </c>
      <c r="R8" s="23" t="n">
        <v>13101</v>
      </c>
      <c r="S8" s="23" t="n">
        <v>13039</v>
      </c>
      <c r="T8" s="23" t="n">
        <v>20131</v>
      </c>
      <c r="U8" s="23" t="n">
        <v>38559</v>
      </c>
      <c r="V8" s="23" t="n">
        <v>68066</v>
      </c>
      <c r="W8" s="23" t="n">
        <v>106090</v>
      </c>
      <c r="X8" s="23" t="n">
        <v>149035</v>
      </c>
      <c r="Y8" s="23" t="n">
        <v>194044</v>
      </c>
    </row>
    <row r="10">
      <c r="A10" s="20" t="inlineStr">
        <is>
          <t>PAY-PER-USE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4" t="inlineStr">
        <is>
          <t xml:space="preserve">  Stormy AI Query Packs</t>
        </is>
      </c>
      <c r="B11" s="13" t="n">
        <v>6</v>
      </c>
      <c r="C11" s="13" t="n">
        <v>13</v>
      </c>
      <c r="D11" s="13" t="n">
        <v>22</v>
      </c>
      <c r="E11" s="13" t="n">
        <v>31</v>
      </c>
      <c r="F11" s="13" t="n">
        <v>44</v>
      </c>
      <c r="G11" s="13" t="n">
        <v>59</v>
      </c>
      <c r="H11" s="13" t="n">
        <v>144</v>
      </c>
      <c r="I11" s="13" t="n">
        <v>257</v>
      </c>
      <c r="J11" s="13" t="n">
        <v>367</v>
      </c>
      <c r="K11" s="13" t="n">
        <v>465</v>
      </c>
      <c r="L11" s="13" t="n">
        <v>553</v>
      </c>
      <c r="M11" s="13" t="n">
        <v>628</v>
      </c>
      <c r="N11" s="13" t="n">
        <v>610</v>
      </c>
      <c r="O11" s="13" t="n">
        <v>586</v>
      </c>
      <c r="P11" s="13" t="n">
        <v>560</v>
      </c>
      <c r="Q11" s="13" t="n">
        <v>549</v>
      </c>
      <c r="R11" s="13" t="n">
        <v>571</v>
      </c>
      <c r="S11" s="13" t="n">
        <v>651</v>
      </c>
      <c r="T11" s="13" t="n">
        <v>1400</v>
      </c>
      <c r="U11" s="13" t="n">
        <v>2389</v>
      </c>
      <c r="V11" s="13" t="n">
        <v>3491</v>
      </c>
      <c r="W11" s="13" t="n">
        <v>4594</v>
      </c>
      <c r="X11" s="13" t="n">
        <v>5655</v>
      </c>
      <c r="Y11" s="13" t="n">
        <v>6599</v>
      </c>
    </row>
    <row r="12">
      <c r="A12" s="4" t="inlineStr">
        <is>
          <t xml:space="preserve">  Draft Kits (seasonal)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414</v>
      </c>
      <c r="H12" s="13" t="n">
        <v>988</v>
      </c>
      <c r="I12" s="13" t="n">
        <v>0</v>
      </c>
      <c r="J12" s="13" t="n">
        <v>0</v>
      </c>
      <c r="K12" s="13" t="n">
        <v>0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3590</v>
      </c>
      <c r="T12" s="13" t="n">
        <v>8479</v>
      </c>
      <c r="U12" s="13" t="n">
        <v>0</v>
      </c>
      <c r="V12" s="13" t="n">
        <v>0</v>
      </c>
      <c r="W12" s="13" t="n">
        <v>0</v>
      </c>
      <c r="X12" s="13" t="n">
        <v>0</v>
      </c>
      <c r="Y12" s="13" t="n">
        <v>0</v>
      </c>
    </row>
    <row r="13">
      <c r="A13" s="22" t="inlineStr">
        <is>
          <t>Pay-Per-Use Subtotal</t>
        </is>
      </c>
      <c r="B13" s="23" t="n">
        <v>6</v>
      </c>
      <c r="C13" s="23" t="n">
        <v>13</v>
      </c>
      <c r="D13" s="23" t="n">
        <v>22</v>
      </c>
      <c r="E13" s="23" t="n">
        <v>31</v>
      </c>
      <c r="F13" s="23" t="n">
        <v>44</v>
      </c>
      <c r="G13" s="23" t="n">
        <v>473</v>
      </c>
      <c r="H13" s="23" t="n">
        <v>1133</v>
      </c>
      <c r="I13" s="23" t="n">
        <v>257</v>
      </c>
      <c r="J13" s="23" t="n">
        <v>367</v>
      </c>
      <c r="K13" s="23" t="n">
        <v>465</v>
      </c>
      <c r="L13" s="23" t="n">
        <v>553</v>
      </c>
      <c r="M13" s="23" t="n">
        <v>628</v>
      </c>
      <c r="N13" s="23" t="n">
        <v>610</v>
      </c>
      <c r="O13" s="23" t="n">
        <v>586</v>
      </c>
      <c r="P13" s="23" t="n">
        <v>560</v>
      </c>
      <c r="Q13" s="23" t="n">
        <v>549</v>
      </c>
      <c r="R13" s="23" t="n">
        <v>571</v>
      </c>
      <c r="S13" s="23" t="n">
        <v>4241</v>
      </c>
      <c r="T13" s="23" t="n">
        <v>9879</v>
      </c>
      <c r="U13" s="23" t="n">
        <v>2389</v>
      </c>
      <c r="V13" s="23" t="n">
        <v>3491</v>
      </c>
      <c r="W13" s="23" t="n">
        <v>4594</v>
      </c>
      <c r="X13" s="23" t="n">
        <v>5655</v>
      </c>
      <c r="Y13" s="23" t="n">
        <v>6599</v>
      </c>
    </row>
    <row r="15">
      <c r="A15" s="20" t="inlineStr">
        <is>
          <t>DFS REVENUE (12% rake — launches Oct 2027)</t>
        </is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4" t="inlineStr">
        <is>
          <t xml:space="preserve">  DFS Rake Revenue</t>
        </is>
      </c>
      <c r="B16" s="13" t="n">
        <v>0</v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6797</v>
      </c>
      <c r="U16" s="13" t="n">
        <v>11207</v>
      </c>
      <c r="V16" s="13" t="n">
        <v>15370</v>
      </c>
      <c r="W16" s="13" t="n">
        <v>18831</v>
      </c>
      <c r="X16" s="13" t="n">
        <v>21638</v>
      </c>
      <c r="Y16" s="13" t="n">
        <v>23597</v>
      </c>
    </row>
    <row r="18">
      <c r="A18" s="20" t="inlineStr">
        <is>
          <t>ADVERTISING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4" t="inlineStr">
        <is>
          <t xml:space="preserve">  Ad Revenue (Free Tier)</t>
        </is>
      </c>
      <c r="B19" s="13" t="n">
        <v>49</v>
      </c>
      <c r="C19" s="13" t="n">
        <v>106</v>
      </c>
      <c r="D19" s="13" t="n">
        <v>170</v>
      </c>
      <c r="E19" s="13" t="n">
        <v>239</v>
      </c>
      <c r="F19" s="13" t="n">
        <v>330</v>
      </c>
      <c r="G19" s="13" t="n">
        <v>438</v>
      </c>
      <c r="H19" s="13" t="n">
        <v>2577</v>
      </c>
      <c r="I19" s="13" t="n">
        <v>4263</v>
      </c>
      <c r="J19" s="13" t="n">
        <v>5472</v>
      </c>
      <c r="K19" s="13" t="n">
        <v>6189</v>
      </c>
      <c r="L19" s="13" t="n">
        <v>6563</v>
      </c>
      <c r="M19" s="13" t="n">
        <v>6640</v>
      </c>
      <c r="N19" s="13" t="n">
        <v>2575</v>
      </c>
      <c r="O19" s="13" t="n">
        <v>2443</v>
      </c>
      <c r="P19" s="13" t="n">
        <v>2302</v>
      </c>
      <c r="Q19" s="13" t="n">
        <v>2284</v>
      </c>
      <c r="R19" s="13" t="n">
        <v>2530</v>
      </c>
      <c r="S19" s="13" t="n">
        <v>3222</v>
      </c>
      <c r="T19" s="13" t="n">
        <v>20429</v>
      </c>
      <c r="U19" s="13" t="n">
        <v>32949</v>
      </c>
      <c r="V19" s="13" t="n">
        <v>43141</v>
      </c>
      <c r="W19" s="13" t="n">
        <v>49805</v>
      </c>
      <c r="X19" s="13" t="n">
        <v>53597</v>
      </c>
      <c r="Y19" s="13" t="n">
        <v>54236</v>
      </c>
    </row>
    <row r="21">
      <c r="A21" s="14" t="inlineStr">
        <is>
          <t>TOTAL MONTHLY REVENUE</t>
        </is>
      </c>
      <c r="B21" s="15" t="n">
        <v>55</v>
      </c>
      <c r="C21" s="15" t="n">
        <v>135</v>
      </c>
      <c r="D21" s="15" t="n">
        <v>238</v>
      </c>
      <c r="E21" s="15" t="n">
        <v>365</v>
      </c>
      <c r="F21" s="15" t="n">
        <v>533</v>
      </c>
      <c r="G21" s="15" t="n">
        <v>1156</v>
      </c>
      <c r="H21" s="15" t="n">
        <v>4560</v>
      </c>
      <c r="I21" s="15" t="n">
        <v>6788</v>
      </c>
      <c r="J21" s="15" t="n">
        <v>10421</v>
      </c>
      <c r="K21" s="15" t="n">
        <v>14147</v>
      </c>
      <c r="L21" s="15" t="n">
        <v>17820</v>
      </c>
      <c r="M21" s="15" t="n">
        <v>21281</v>
      </c>
      <c r="N21" s="15" t="n">
        <v>17077</v>
      </c>
      <c r="O21" s="15" t="n">
        <v>16777</v>
      </c>
      <c r="P21" s="15" t="n">
        <v>16420</v>
      </c>
      <c r="Q21" s="15" t="n">
        <v>16152</v>
      </c>
      <c r="R21" s="15" t="n">
        <v>16203</v>
      </c>
      <c r="S21" s="15" t="n">
        <v>20502</v>
      </c>
      <c r="T21" s="15" t="n">
        <v>57236</v>
      </c>
      <c r="U21" s="15" t="n">
        <v>85105</v>
      </c>
      <c r="V21" s="15" t="n">
        <v>130069</v>
      </c>
      <c r="W21" s="15" t="n">
        <v>179319</v>
      </c>
      <c r="X21" s="15" t="n">
        <v>229924</v>
      </c>
      <c r="Y21" s="15" t="n">
        <v>278476</v>
      </c>
      <c r="Z21" s="14" t="n"/>
    </row>
    <row r="23">
      <c r="A23" s="24" t="inlineStr">
        <is>
          <t>CUMULATIVE REVENUE</t>
        </is>
      </c>
      <c r="B23" s="25" t="n">
        <v>55</v>
      </c>
      <c r="C23" s="25" t="n">
        <v>190</v>
      </c>
      <c r="D23" s="25" t="n">
        <v>428</v>
      </c>
      <c r="E23" s="25" t="n">
        <v>793</v>
      </c>
      <c r="F23" s="25" t="n">
        <v>1326</v>
      </c>
      <c r="G23" s="25" t="n">
        <v>2482</v>
      </c>
      <c r="H23" s="25" t="n">
        <v>7043</v>
      </c>
      <c r="I23" s="25" t="n">
        <v>13831</v>
      </c>
      <c r="J23" s="25" t="n">
        <v>24251</v>
      </c>
      <c r="K23" s="25" t="n">
        <v>38399</v>
      </c>
      <c r="L23" s="25" t="n">
        <v>56219</v>
      </c>
      <c r="M23" s="25" t="n">
        <v>77500</v>
      </c>
      <c r="N23" s="25" t="n">
        <v>94576</v>
      </c>
      <c r="O23" s="25" t="n">
        <v>111353</v>
      </c>
      <c r="P23" s="25" t="n">
        <v>127773</v>
      </c>
      <c r="Q23" s="25" t="n">
        <v>143925</v>
      </c>
      <c r="R23" s="25" t="n">
        <v>160128</v>
      </c>
      <c r="S23" s="25" t="n">
        <v>180630</v>
      </c>
      <c r="T23" s="25" t="n">
        <v>237867</v>
      </c>
      <c r="U23" s="25" t="n">
        <v>322972</v>
      </c>
      <c r="V23" s="25" t="n">
        <v>453040</v>
      </c>
      <c r="W23" s="25" t="n">
        <v>632360</v>
      </c>
      <c r="X23" s="25" t="n">
        <v>862284</v>
      </c>
      <c r="Y23" s="25" t="n">
        <v>1140760</v>
      </c>
    </row>
  </sheetData>
  <mergeCells count="1">
    <mergeCell ref="A1:Z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702A"/>
    <outlinePr summaryBelow="1" summaryRight="1"/>
    <pageSetUpPr/>
  </sheetPr>
  <dimension ref="A1:Z44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COST STRUCTURE &amp; MARKETING — Monthly Breakdown</t>
        </is>
      </c>
    </row>
    <row r="2">
      <c r="A2" s="2" t="inlineStr">
        <is>
          <t>Infrastructure + Marketing + Conferences + Team</t>
        </is>
      </c>
    </row>
    <row r="4">
      <c r="A4" s="12" t="inlineStr">
        <is>
          <t>Cost Category</t>
        </is>
      </c>
      <c r="B4" s="12" t="inlineStr">
        <is>
          <t>Apr-26</t>
        </is>
      </c>
      <c r="C4" s="12" t="inlineStr">
        <is>
          <t>May-26</t>
        </is>
      </c>
      <c r="D4" s="12" t="inlineStr">
        <is>
          <t>Jun-26</t>
        </is>
      </c>
      <c r="E4" s="12" t="inlineStr">
        <is>
          <t>Jul-26</t>
        </is>
      </c>
      <c r="F4" s="12" t="inlineStr">
        <is>
          <t>Aug-26</t>
        </is>
      </c>
      <c r="G4" s="12" t="inlineStr">
        <is>
          <t>Sep-26</t>
        </is>
      </c>
      <c r="H4" s="12" t="inlineStr">
        <is>
          <t>Oct-26</t>
        </is>
      </c>
      <c r="I4" s="12" t="inlineStr">
        <is>
          <t>Nov-26</t>
        </is>
      </c>
      <c r="J4" s="12" t="inlineStr">
        <is>
          <t>Dec-26</t>
        </is>
      </c>
      <c r="K4" s="12" t="inlineStr">
        <is>
          <t>Jan-27</t>
        </is>
      </c>
      <c r="L4" s="12" t="inlineStr">
        <is>
          <t>Feb-27</t>
        </is>
      </c>
      <c r="M4" s="12" t="inlineStr">
        <is>
          <t>Mar-27</t>
        </is>
      </c>
      <c r="N4" s="12" t="inlineStr">
        <is>
          <t>Apr-27</t>
        </is>
      </c>
      <c r="O4" s="12" t="inlineStr">
        <is>
          <t>May-27</t>
        </is>
      </c>
      <c r="P4" s="12" t="inlineStr">
        <is>
          <t>Jun-27</t>
        </is>
      </c>
      <c r="Q4" s="12" t="inlineStr">
        <is>
          <t>Jul-27</t>
        </is>
      </c>
      <c r="R4" s="12" t="inlineStr">
        <is>
          <t>Aug-27</t>
        </is>
      </c>
      <c r="S4" s="12" t="inlineStr">
        <is>
          <t>Sep-27</t>
        </is>
      </c>
      <c r="T4" s="12" t="inlineStr">
        <is>
          <t>Oct-27</t>
        </is>
      </c>
      <c r="U4" s="12" t="inlineStr">
        <is>
          <t>Nov-27</t>
        </is>
      </c>
      <c r="V4" s="12" t="inlineStr">
        <is>
          <t>Dec-27</t>
        </is>
      </c>
      <c r="W4" s="12" t="inlineStr">
        <is>
          <t>Jan-28</t>
        </is>
      </c>
      <c r="X4" s="12" t="inlineStr">
        <is>
          <t>Feb-28</t>
        </is>
      </c>
      <c r="Y4" s="12" t="inlineStr">
        <is>
          <t>Mar-28</t>
        </is>
      </c>
    </row>
    <row r="5">
      <c r="A5" s="20" t="inlineStr">
        <is>
          <t>INFRASTRUCTURE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4" t="inlineStr">
        <is>
          <t xml:space="preserve">  Supabase + Firebase + API Hosting</t>
        </is>
      </c>
      <c r="B6" s="13" t="n">
        <v>170</v>
      </c>
      <c r="C6" s="13" t="n">
        <v>171</v>
      </c>
      <c r="D6" s="13" t="n">
        <v>171</v>
      </c>
      <c r="E6" s="13" t="n">
        <v>172</v>
      </c>
      <c r="F6" s="13" t="n">
        <v>173</v>
      </c>
      <c r="G6" s="13" t="n">
        <v>174</v>
      </c>
      <c r="H6" s="13" t="n">
        <v>183</v>
      </c>
      <c r="I6" s="13" t="n">
        <v>203</v>
      </c>
      <c r="J6" s="13" t="n">
        <v>236</v>
      </c>
      <c r="K6" s="13" t="n">
        <v>274</v>
      </c>
      <c r="L6" s="13" t="n">
        <v>314</v>
      </c>
      <c r="M6" s="13" t="n">
        <v>354</v>
      </c>
      <c r="N6" s="13" t="n">
        <v>353</v>
      </c>
      <c r="O6" s="13" t="n">
        <v>351</v>
      </c>
      <c r="P6" s="13" t="n">
        <v>348</v>
      </c>
      <c r="Q6" s="13" t="n">
        <v>345</v>
      </c>
      <c r="R6" s="13" t="n">
        <v>345</v>
      </c>
      <c r="S6" s="13" t="n">
        <v>351</v>
      </c>
      <c r="T6" s="13" t="n">
        <v>484</v>
      </c>
      <c r="U6" s="13" t="n">
        <v>757</v>
      </c>
      <c r="V6" s="13" t="n">
        <v>1157</v>
      </c>
      <c r="W6" s="13" t="n">
        <v>1649</v>
      </c>
      <c r="X6" s="13" t="n">
        <v>2192</v>
      </c>
      <c r="Y6" s="13" t="n">
        <v>2749</v>
      </c>
    </row>
    <row r="8">
      <c r="A8" s="20" t="inlineStr">
        <is>
          <t>MARKETING &amp; GROWTH</t>
        </is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4" t="inlineStr">
        <is>
          <t xml:space="preserve">  Digital Marketing (Paid + Organic)</t>
        </is>
      </c>
      <c r="B9" s="13" t="n">
        <v>300</v>
      </c>
      <c r="C9" s="13" t="n">
        <v>340</v>
      </c>
      <c r="D9" s="13" t="n">
        <v>380</v>
      </c>
      <c r="E9" s="13" t="n">
        <v>420</v>
      </c>
      <c r="F9" s="13" t="n">
        <v>460</v>
      </c>
      <c r="G9" s="13" t="n">
        <v>500</v>
      </c>
      <c r="H9" s="13" t="n">
        <v>800</v>
      </c>
      <c r="I9" s="13" t="n">
        <v>1050</v>
      </c>
      <c r="J9" s="13" t="n">
        <v>1300</v>
      </c>
      <c r="K9" s="13" t="n">
        <v>1550</v>
      </c>
      <c r="L9" s="13" t="n">
        <v>1800</v>
      </c>
      <c r="M9" s="13" t="n">
        <v>2050</v>
      </c>
      <c r="N9" s="13" t="n">
        <v>1200</v>
      </c>
      <c r="O9" s="13" t="n">
        <v>1250</v>
      </c>
      <c r="P9" s="13" t="n">
        <v>1300</v>
      </c>
      <c r="Q9" s="13" t="n">
        <v>1350</v>
      </c>
      <c r="R9" s="13" t="n">
        <v>1400</v>
      </c>
      <c r="S9" s="13" t="n">
        <v>1450</v>
      </c>
      <c r="T9" s="13" t="n">
        <v>3000</v>
      </c>
      <c r="U9" s="13" t="n">
        <v>4000</v>
      </c>
      <c r="V9" s="13" t="n">
        <v>5000</v>
      </c>
      <c r="W9" s="13" t="n">
        <v>6000</v>
      </c>
      <c r="X9" s="13" t="n">
        <v>7000</v>
      </c>
      <c r="Y9" s="13" t="n">
        <v>8000</v>
      </c>
    </row>
    <row r="10">
      <c r="A10" s="4" t="inlineStr">
        <is>
          <t xml:space="preserve">  Content Marketing (Blog, Social, Video)</t>
        </is>
      </c>
      <c r="B10" s="13" t="n">
        <v>200</v>
      </c>
      <c r="C10" s="13" t="n">
        <v>200</v>
      </c>
      <c r="D10" s="13" t="n">
        <v>200</v>
      </c>
      <c r="E10" s="13" t="n">
        <v>200</v>
      </c>
      <c r="F10" s="13" t="n">
        <v>200</v>
      </c>
      <c r="G10" s="13" t="n">
        <v>200</v>
      </c>
      <c r="H10" s="13" t="n">
        <v>200</v>
      </c>
      <c r="I10" s="13" t="n">
        <v>200</v>
      </c>
      <c r="J10" s="13" t="n">
        <v>200</v>
      </c>
      <c r="K10" s="13" t="n">
        <v>200</v>
      </c>
      <c r="L10" s="13" t="n">
        <v>200</v>
      </c>
      <c r="M10" s="13" t="n">
        <v>200</v>
      </c>
      <c r="N10" s="13" t="n">
        <v>500</v>
      </c>
      <c r="O10" s="13" t="n">
        <v>500</v>
      </c>
      <c r="P10" s="13" t="n">
        <v>500</v>
      </c>
      <c r="Q10" s="13" t="n">
        <v>500</v>
      </c>
      <c r="R10" s="13" t="n">
        <v>500</v>
      </c>
      <c r="S10" s="13" t="n">
        <v>500</v>
      </c>
      <c r="T10" s="13" t="n">
        <v>500</v>
      </c>
      <c r="U10" s="13" t="n">
        <v>500</v>
      </c>
      <c r="V10" s="13" t="n">
        <v>500</v>
      </c>
      <c r="W10" s="13" t="n">
        <v>500</v>
      </c>
      <c r="X10" s="13" t="n">
        <v>500</v>
      </c>
      <c r="Y10" s="13" t="n">
        <v>500</v>
      </c>
    </row>
    <row r="11">
      <c r="A11" s="22" t="inlineStr">
        <is>
          <t>Marketing Subtotal</t>
        </is>
      </c>
      <c r="B11" s="23" t="n">
        <v>500</v>
      </c>
      <c r="C11" s="23" t="n">
        <v>540</v>
      </c>
      <c r="D11" s="23" t="n">
        <v>580</v>
      </c>
      <c r="E11" s="23" t="n">
        <v>620</v>
      </c>
      <c r="F11" s="23" t="n">
        <v>660</v>
      </c>
      <c r="G11" s="23" t="n">
        <v>700</v>
      </c>
      <c r="H11" s="23" t="n">
        <v>1000</v>
      </c>
      <c r="I11" s="23" t="n">
        <v>1250</v>
      </c>
      <c r="J11" s="23" t="n">
        <v>1500</v>
      </c>
      <c r="K11" s="23" t="n">
        <v>1750</v>
      </c>
      <c r="L11" s="23" t="n">
        <v>2000</v>
      </c>
      <c r="M11" s="23" t="n">
        <v>2250</v>
      </c>
      <c r="N11" s="23" t="n">
        <v>1700</v>
      </c>
      <c r="O11" s="23" t="n">
        <v>1750</v>
      </c>
      <c r="P11" s="23" t="n">
        <v>1800</v>
      </c>
      <c r="Q11" s="23" t="n">
        <v>1850</v>
      </c>
      <c r="R11" s="23" t="n">
        <v>1900</v>
      </c>
      <c r="S11" s="23" t="n">
        <v>1950</v>
      </c>
      <c r="T11" s="23" t="n">
        <v>3500</v>
      </c>
      <c r="U11" s="23" t="n">
        <v>4500</v>
      </c>
      <c r="V11" s="23" t="n">
        <v>5500</v>
      </c>
      <c r="W11" s="23" t="n">
        <v>6500</v>
      </c>
      <c r="X11" s="23" t="n">
        <v>7500</v>
      </c>
      <c r="Y11" s="23" t="n">
        <v>8500</v>
      </c>
    </row>
    <row r="13">
      <c r="A13" s="20" t="inlineStr">
        <is>
          <t>CONFERENCE &amp; TRAVEL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4" t="inlineStr">
        <is>
          <t xml:space="preserve">  Conference Costs (see notes below)</t>
        </is>
      </c>
      <c r="B14" s="13" t="n">
        <v>750</v>
      </c>
      <c r="C14" s="13" t="n">
        <v>0</v>
      </c>
      <c r="D14" s="13" t="n">
        <v>0</v>
      </c>
      <c r="E14" s="13" t="n">
        <v>4500</v>
      </c>
      <c r="F14" s="13" t="n">
        <v>0</v>
      </c>
      <c r="G14" s="13" t="n">
        <v>3500</v>
      </c>
      <c r="H14" s="13" t="n">
        <v>0</v>
      </c>
      <c r="I14" s="13" t="n">
        <v>5000</v>
      </c>
      <c r="J14" s="13" t="n">
        <v>0</v>
      </c>
      <c r="K14" s="13" t="n">
        <v>0</v>
      </c>
      <c r="L14" s="13" t="n">
        <v>4000</v>
      </c>
      <c r="M14" s="13" t="n">
        <v>5000</v>
      </c>
      <c r="N14" s="13" t="n">
        <v>500</v>
      </c>
      <c r="O14" s="13" t="n">
        <v>0</v>
      </c>
      <c r="P14" s="13" t="n">
        <v>6000</v>
      </c>
      <c r="Q14" s="13" t="n">
        <v>6000</v>
      </c>
      <c r="R14" s="13" t="n">
        <v>0</v>
      </c>
      <c r="S14" s="13" t="n">
        <v>5000</v>
      </c>
      <c r="T14" s="13" t="n">
        <v>0</v>
      </c>
      <c r="U14" s="13" t="n">
        <v>8000</v>
      </c>
      <c r="V14" s="13" t="n">
        <v>0</v>
      </c>
      <c r="W14" s="13" t="n">
        <v>0</v>
      </c>
      <c r="X14" s="13" t="n">
        <v>5000</v>
      </c>
      <c r="Y14" s="13" t="n">
        <v>6000</v>
      </c>
    </row>
    <row r="16">
      <c r="A16" s="20" t="inlineStr">
        <is>
          <t>TEAM</t>
        </is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4" t="inlineStr">
        <is>
          <t xml:space="preserve">  Contractors / Part-Time Team</t>
        </is>
      </c>
      <c r="B17" s="13" t="n">
        <v>0</v>
      </c>
      <c r="C17" s="13" t="n">
        <v>0</v>
      </c>
      <c r="D17" s="13" t="n">
        <v>0</v>
      </c>
      <c r="E17" s="13" t="n">
        <v>0</v>
      </c>
      <c r="F17" s="13" t="n">
        <v>0</v>
      </c>
      <c r="G17" s="13" t="n">
        <v>0</v>
      </c>
      <c r="H17" s="13" t="n">
        <v>1500</v>
      </c>
      <c r="I17" s="13" t="n">
        <v>1500</v>
      </c>
      <c r="J17" s="13" t="n">
        <v>1500</v>
      </c>
      <c r="K17" s="13" t="n">
        <v>1500</v>
      </c>
      <c r="L17" s="13" t="n">
        <v>1500</v>
      </c>
      <c r="M17" s="13" t="n">
        <v>1500</v>
      </c>
      <c r="N17" s="13" t="n">
        <v>3000</v>
      </c>
      <c r="O17" s="13" t="n">
        <v>3000</v>
      </c>
      <c r="P17" s="13" t="n">
        <v>3000</v>
      </c>
      <c r="Q17" s="13" t="n">
        <v>3000</v>
      </c>
      <c r="R17" s="13" t="n">
        <v>3000</v>
      </c>
      <c r="S17" s="13" t="n">
        <v>3000</v>
      </c>
      <c r="T17" s="13" t="n">
        <v>6000</v>
      </c>
      <c r="U17" s="13" t="n">
        <v>6000</v>
      </c>
      <c r="V17" s="13" t="n">
        <v>6000</v>
      </c>
      <c r="W17" s="13" t="n">
        <v>6000</v>
      </c>
      <c r="X17" s="13" t="n">
        <v>6000</v>
      </c>
      <c r="Y17" s="13" t="n">
        <v>6000</v>
      </c>
    </row>
    <row r="19">
      <c r="A19" s="20" t="inlineStr">
        <is>
          <t>PLATFORM FEES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4" t="inlineStr">
        <is>
          <t xml:space="preserve">  App Store Commission (15%)</t>
        </is>
      </c>
      <c r="B20" s="13" t="n">
        <v>1</v>
      </c>
      <c r="C20" s="13" t="n">
        <v>4</v>
      </c>
      <c r="D20" s="13" t="n">
        <v>10</v>
      </c>
      <c r="E20" s="13" t="n">
        <v>19</v>
      </c>
      <c r="F20" s="13" t="n">
        <v>30</v>
      </c>
      <c r="G20" s="13" t="n">
        <v>46</v>
      </c>
      <c r="H20" s="13" t="n">
        <v>149</v>
      </c>
      <c r="I20" s="13" t="n">
        <v>379</v>
      </c>
      <c r="J20" s="13" t="n">
        <v>742</v>
      </c>
      <c r="K20" s="13" t="n">
        <v>1194</v>
      </c>
      <c r="L20" s="13" t="n">
        <v>1689</v>
      </c>
      <c r="M20" s="13" t="n">
        <v>2196</v>
      </c>
      <c r="N20" s="13" t="n">
        <v>2175</v>
      </c>
      <c r="O20" s="13" t="n">
        <v>2150</v>
      </c>
      <c r="P20" s="13" t="n">
        <v>2118</v>
      </c>
      <c r="Q20" s="13" t="n">
        <v>2080</v>
      </c>
      <c r="R20" s="13" t="n">
        <v>2051</v>
      </c>
      <c r="S20" s="13" t="n">
        <v>2054</v>
      </c>
      <c r="T20" s="13" t="n">
        <v>3230</v>
      </c>
      <c r="U20" s="13" t="n">
        <v>6142</v>
      </c>
      <c r="V20" s="13" t="n">
        <v>10734</v>
      </c>
      <c r="W20" s="13" t="n">
        <v>16603</v>
      </c>
      <c r="X20" s="13" t="n">
        <v>23203</v>
      </c>
      <c r="Y20" s="13" t="n">
        <v>30096</v>
      </c>
    </row>
    <row r="21">
      <c r="A21" s="4" t="inlineStr">
        <is>
          <t xml:space="preserve">  Payment Processing (3%)</t>
        </is>
      </c>
      <c r="B21" s="13" t="n">
        <v>0</v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12</v>
      </c>
      <c r="H21" s="13" t="n">
        <v>30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108</v>
      </c>
      <c r="T21" s="13" t="n">
        <v>458</v>
      </c>
      <c r="U21" s="13" t="n">
        <v>336</v>
      </c>
      <c r="V21" s="13" t="n">
        <v>461</v>
      </c>
      <c r="W21" s="13" t="n">
        <v>565</v>
      </c>
      <c r="X21" s="13" t="n">
        <v>649</v>
      </c>
      <c r="Y21" s="13" t="n">
        <v>708</v>
      </c>
    </row>
    <row r="22">
      <c r="A22" s="22" t="inlineStr">
        <is>
          <t>Platform Fees Subtotal</t>
        </is>
      </c>
      <c r="B22" s="23" t="n">
        <v>1</v>
      </c>
      <c r="C22" s="23" t="n">
        <v>4</v>
      </c>
      <c r="D22" s="23" t="n">
        <v>10</v>
      </c>
      <c r="E22" s="23" t="n">
        <v>19</v>
      </c>
      <c r="F22" s="23" t="n">
        <v>30</v>
      </c>
      <c r="G22" s="23" t="n">
        <v>58</v>
      </c>
      <c r="H22" s="23" t="n">
        <v>179</v>
      </c>
      <c r="I22" s="23" t="n">
        <v>379</v>
      </c>
      <c r="J22" s="23" t="n">
        <v>742</v>
      </c>
      <c r="K22" s="23" t="n">
        <v>1194</v>
      </c>
      <c r="L22" s="23" t="n">
        <v>1689</v>
      </c>
      <c r="M22" s="23" t="n">
        <v>2196</v>
      </c>
      <c r="N22" s="23" t="n">
        <v>2175</v>
      </c>
      <c r="O22" s="23" t="n">
        <v>2150</v>
      </c>
      <c r="P22" s="23" t="n">
        <v>2118</v>
      </c>
      <c r="Q22" s="23" t="n">
        <v>2080</v>
      </c>
      <c r="R22" s="23" t="n">
        <v>2051</v>
      </c>
      <c r="S22" s="23" t="n">
        <v>2161</v>
      </c>
      <c r="T22" s="23" t="n">
        <v>3688</v>
      </c>
      <c r="U22" s="23" t="n">
        <v>6478</v>
      </c>
      <c r="V22" s="23" t="n">
        <v>11195</v>
      </c>
      <c r="W22" s="23" t="n">
        <v>17168</v>
      </c>
      <c r="X22" s="23" t="n">
        <v>23853</v>
      </c>
      <c r="Y22" s="23" t="n">
        <v>30804</v>
      </c>
    </row>
    <row r="24">
      <c r="A24" s="14" t="inlineStr">
        <is>
          <t>TOTAL MONTHLY COSTS</t>
        </is>
      </c>
      <c r="B24" s="15" t="n">
        <v>1421</v>
      </c>
      <c r="C24" s="15" t="n">
        <v>715</v>
      </c>
      <c r="D24" s="15" t="n">
        <v>761</v>
      </c>
      <c r="E24" s="15" t="n">
        <v>5311</v>
      </c>
      <c r="F24" s="15" t="n">
        <v>863</v>
      </c>
      <c r="G24" s="15" t="n">
        <v>4432</v>
      </c>
      <c r="H24" s="15" t="n">
        <v>2862</v>
      </c>
      <c r="I24" s="15" t="n">
        <v>8332</v>
      </c>
      <c r="J24" s="15" t="n">
        <v>3978</v>
      </c>
      <c r="K24" s="15" t="n">
        <v>4717</v>
      </c>
      <c r="L24" s="15" t="n">
        <v>9502</v>
      </c>
      <c r="M24" s="15" t="n">
        <v>11300</v>
      </c>
      <c r="N24" s="15" t="n">
        <v>7728</v>
      </c>
      <c r="O24" s="15" t="n">
        <v>7251</v>
      </c>
      <c r="P24" s="15" t="n">
        <v>13265</v>
      </c>
      <c r="Q24" s="15" t="n">
        <v>13275</v>
      </c>
      <c r="R24" s="15" t="n">
        <v>7296</v>
      </c>
      <c r="S24" s="15" t="n">
        <v>12463</v>
      </c>
      <c r="T24" s="15" t="n">
        <v>13672</v>
      </c>
      <c r="U24" s="15" t="n">
        <v>25735</v>
      </c>
      <c r="V24" s="15" t="n">
        <v>23852</v>
      </c>
      <c r="W24" s="15" t="n">
        <v>31317</v>
      </c>
      <c r="X24" s="15" t="n">
        <v>44545</v>
      </c>
      <c r="Y24" s="15" t="n">
        <v>54054</v>
      </c>
      <c r="Z24" s="14" t="n"/>
    </row>
    <row r="27">
      <c r="A27" s="26" t="inlineStr">
        <is>
          <t>CONFERENCE &amp; TRAVEL SCHEDULE</t>
        </is>
      </c>
    </row>
    <row r="28">
      <c r="A28" s="12" t="inlineStr">
        <is>
          <t>Month</t>
        </is>
      </c>
      <c r="B28" s="12" t="inlineStr">
        <is>
          <t>Event</t>
        </is>
      </c>
      <c r="C28" s="12" t="inlineStr">
        <is>
          <t>Location (Est.)</t>
        </is>
      </c>
      <c r="D28" s="12" t="inlineStr">
        <is>
          <t>Budget</t>
        </is>
      </c>
    </row>
    <row r="29">
      <c r="A29" s="4" t="inlineStr">
        <is>
          <t>Apr 2026</t>
        </is>
      </c>
      <c r="B29" s="4" t="inlineStr">
        <is>
          <t>FSGA Membership (first year)</t>
        </is>
      </c>
      <c r="C29" s="4" t="inlineStr">
        <is>
          <t>Online</t>
        </is>
      </c>
      <c r="D29" s="4" t="inlineStr">
        <is>
          <t>$750</t>
        </is>
      </c>
    </row>
    <row r="30">
      <c r="A30" s="4" t="inlineStr">
        <is>
          <t>Jul 2026</t>
        </is>
      </c>
      <c r="B30" s="4" t="inlineStr">
        <is>
          <t>FSGA Summer Conference</t>
        </is>
      </c>
      <c r="C30" s="4" t="inlineStr">
        <is>
          <t>Philadelphia, PA</t>
        </is>
      </c>
      <c r="D30" s="4" t="inlineStr">
        <is>
          <t>$4,500</t>
        </is>
      </c>
    </row>
    <row r="31">
      <c r="A31" s="4" t="inlineStr">
        <is>
          <t>Sep 2026</t>
        </is>
      </c>
      <c r="B31" s="4" t="inlineStr">
        <is>
          <t>Sports Tech Conference</t>
        </is>
      </c>
      <c r="C31" s="4" t="inlineStr">
        <is>
          <t>Various</t>
        </is>
      </c>
      <c r="D31" s="4" t="inlineStr">
        <is>
          <t>$3,500</t>
        </is>
      </c>
    </row>
    <row r="32">
      <c r="A32" s="4" t="inlineStr">
        <is>
          <t>Nov 2026</t>
        </is>
      </c>
      <c r="B32" s="4" t="inlineStr">
        <is>
          <t>Web Summit</t>
        </is>
      </c>
      <c r="C32" s="4" t="inlineStr">
        <is>
          <t>Lisbon, Portugal</t>
        </is>
      </c>
      <c r="D32" s="4" t="inlineStr">
        <is>
          <t>$5,000</t>
        </is>
      </c>
    </row>
    <row r="33">
      <c r="A33" s="4" t="inlineStr">
        <is>
          <t>Feb 2027</t>
        </is>
      </c>
      <c r="B33" s="4" t="inlineStr">
        <is>
          <t>FSGA Winter Conference</t>
        </is>
      </c>
      <c r="C33" s="4" t="inlineStr">
        <is>
          <t>Las Vegas, NV</t>
        </is>
      </c>
      <c r="D33" s="4" t="inlineStr">
        <is>
          <t>$4,000</t>
        </is>
      </c>
    </row>
    <row r="34">
      <c r="A34" s="4" t="inlineStr">
        <is>
          <t>Mar 2027</t>
        </is>
      </c>
      <c r="B34" s="4" t="inlineStr">
        <is>
          <t>MIT Sloan Sports Analytics (SSAC)</t>
        </is>
      </c>
      <c r="C34" s="4" t="inlineStr">
        <is>
          <t>Boston, MA</t>
        </is>
      </c>
      <c r="D34" s="4" t="inlineStr">
        <is>
          <t>$5,000</t>
        </is>
      </c>
    </row>
    <row r="35">
      <c r="A35" s="4" t="inlineStr">
        <is>
          <t>Apr 2027</t>
        </is>
      </c>
      <c r="B35" s="4" t="inlineStr">
        <is>
          <t>FSGA Membership Renewal</t>
        </is>
      </c>
      <c r="C35" s="4" t="inlineStr">
        <is>
          <t>Online</t>
        </is>
      </c>
      <c r="D35" s="4" t="inlineStr">
        <is>
          <t>$500</t>
        </is>
      </c>
    </row>
    <row r="36">
      <c r="A36" s="4" t="inlineStr">
        <is>
          <t>Jun 2027</t>
        </is>
      </c>
      <c r="B36" s="4" t="inlineStr">
        <is>
          <t>Sports Analytics Innovation Summit</t>
        </is>
      </c>
      <c r="C36" s="4" t="inlineStr">
        <is>
          <t>Various</t>
        </is>
      </c>
      <c r="D36" s="4" t="inlineStr">
        <is>
          <t>$6,000</t>
        </is>
      </c>
    </row>
    <row r="37">
      <c r="A37" s="4" t="inlineStr">
        <is>
          <t>Jul 2027</t>
        </is>
      </c>
      <c r="B37" s="4" t="inlineStr">
        <is>
          <t>FSGA Summer Conference (booth upgrade)</t>
        </is>
      </c>
      <c r="C37" s="4" t="inlineStr">
        <is>
          <t>TBD</t>
        </is>
      </c>
      <c r="D37" s="4" t="inlineStr">
        <is>
          <t>$6,000</t>
        </is>
      </c>
    </row>
    <row r="38">
      <c r="A38" s="4" t="inlineStr">
        <is>
          <t>Sep 2027</t>
        </is>
      </c>
      <c r="B38" s="4" t="inlineStr">
        <is>
          <t>Sports Tech Conference</t>
        </is>
      </c>
      <c r="C38" s="4" t="inlineStr">
        <is>
          <t>Various</t>
        </is>
      </c>
      <c r="D38" s="4" t="inlineStr">
        <is>
          <t>$5,000</t>
        </is>
      </c>
    </row>
    <row r="39">
      <c r="A39" s="4" t="inlineStr">
        <is>
          <t>Nov 2027</t>
        </is>
      </c>
      <c r="B39" s="4" t="inlineStr">
        <is>
          <t>Web Summit (premium booth)</t>
        </is>
      </c>
      <c r="C39" s="4" t="inlineStr">
        <is>
          <t>Various</t>
        </is>
      </c>
      <c r="D39" s="4" t="inlineStr">
        <is>
          <t>$8,000</t>
        </is>
      </c>
    </row>
    <row r="40">
      <c r="A40" s="4" t="inlineStr">
        <is>
          <t>Feb 2028</t>
        </is>
      </c>
      <c r="B40" s="4" t="inlineStr">
        <is>
          <t>FSGA Winter Conference</t>
        </is>
      </c>
      <c r="C40" s="4" t="inlineStr">
        <is>
          <t>Las Vegas, NV</t>
        </is>
      </c>
      <c r="D40" s="4" t="inlineStr">
        <is>
          <t>$5,000</t>
        </is>
      </c>
    </row>
    <row r="41">
      <c r="A41" s="4" t="inlineStr">
        <is>
          <t>Mar 2028</t>
        </is>
      </c>
      <c r="B41" s="4" t="inlineStr">
        <is>
          <t>MIT Sloan SSAC</t>
        </is>
      </c>
      <c r="C41" s="4" t="inlineStr">
        <is>
          <t>Boston, MA</t>
        </is>
      </c>
      <c r="D41" s="4" t="inlineStr">
        <is>
          <t>$6,000</t>
        </is>
      </c>
    </row>
    <row r="43">
      <c r="A43" s="24" t="inlineStr">
        <is>
          <t>Year 1 Conference Total:</t>
        </is>
      </c>
      <c r="B43" s="27" t="n">
        <v>22750</v>
      </c>
    </row>
    <row r="44">
      <c r="A44" s="24" t="inlineStr">
        <is>
          <t>Year 2 Conference Total:</t>
        </is>
      </c>
      <c r="B44" s="27" t="n">
        <v>36500</v>
      </c>
    </row>
  </sheetData>
  <mergeCells count="1">
    <mergeCell ref="A1:Z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A6741"/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3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PROFIT &amp; LOSS — Monthly Summary</t>
        </is>
      </c>
    </row>
    <row r="2">
      <c r="A2" s="2" t="inlineStr">
        <is>
          <t>Net Income = Revenue - Costs | Cumulative tracks path to profitability</t>
        </is>
      </c>
    </row>
    <row r="4">
      <c r="A4" s="12" t="inlineStr">
        <is>
          <t>P&amp;L Line Item</t>
        </is>
      </c>
      <c r="B4" s="12" t="inlineStr">
        <is>
          <t>Apr-26</t>
        </is>
      </c>
      <c r="C4" s="12" t="inlineStr">
        <is>
          <t>May-26</t>
        </is>
      </c>
      <c r="D4" s="12" t="inlineStr">
        <is>
          <t>Jun-26</t>
        </is>
      </c>
      <c r="E4" s="12" t="inlineStr">
        <is>
          <t>Jul-26</t>
        </is>
      </c>
      <c r="F4" s="12" t="inlineStr">
        <is>
          <t>Aug-26</t>
        </is>
      </c>
      <c r="G4" s="12" t="inlineStr">
        <is>
          <t>Sep-26</t>
        </is>
      </c>
      <c r="H4" s="12" t="inlineStr">
        <is>
          <t>Oct-26</t>
        </is>
      </c>
      <c r="I4" s="12" t="inlineStr">
        <is>
          <t>Nov-26</t>
        </is>
      </c>
      <c r="J4" s="12" t="inlineStr">
        <is>
          <t>Dec-26</t>
        </is>
      </c>
      <c r="K4" s="12" t="inlineStr">
        <is>
          <t>Jan-27</t>
        </is>
      </c>
      <c r="L4" s="12" t="inlineStr">
        <is>
          <t>Feb-27</t>
        </is>
      </c>
      <c r="M4" s="12" t="inlineStr">
        <is>
          <t>Mar-27</t>
        </is>
      </c>
      <c r="N4" s="12" t="inlineStr">
        <is>
          <t>Apr-27</t>
        </is>
      </c>
      <c r="O4" s="12" t="inlineStr">
        <is>
          <t>May-27</t>
        </is>
      </c>
      <c r="P4" s="12" t="inlineStr">
        <is>
          <t>Jun-27</t>
        </is>
      </c>
      <c r="Q4" s="12" t="inlineStr">
        <is>
          <t>Jul-27</t>
        </is>
      </c>
      <c r="R4" s="12" t="inlineStr">
        <is>
          <t>Aug-27</t>
        </is>
      </c>
      <c r="S4" s="12" t="inlineStr">
        <is>
          <t>Sep-27</t>
        </is>
      </c>
      <c r="T4" s="12" t="inlineStr">
        <is>
          <t>Oct-27</t>
        </is>
      </c>
      <c r="U4" s="12" t="inlineStr">
        <is>
          <t>Nov-27</t>
        </is>
      </c>
      <c r="V4" s="12" t="inlineStr">
        <is>
          <t>Dec-27</t>
        </is>
      </c>
      <c r="W4" s="12" t="inlineStr">
        <is>
          <t>Jan-28</t>
        </is>
      </c>
      <c r="X4" s="12" t="inlineStr">
        <is>
          <t>Feb-28</t>
        </is>
      </c>
      <c r="Y4" s="12" t="inlineStr">
        <is>
          <t>Mar-28</t>
        </is>
      </c>
    </row>
    <row r="5">
      <c r="A5" s="4" t="inlineStr">
        <is>
          <t>Total Revenue</t>
        </is>
      </c>
      <c r="B5" s="28" t="n">
        <v>55</v>
      </c>
      <c r="C5" s="28" t="n">
        <v>135</v>
      </c>
      <c r="D5" s="28" t="n">
        <v>238</v>
      </c>
      <c r="E5" s="28" t="n">
        <v>365</v>
      </c>
      <c r="F5" s="28" t="n">
        <v>533</v>
      </c>
      <c r="G5" s="28" t="n">
        <v>1156</v>
      </c>
      <c r="H5" s="28" t="n">
        <v>4560</v>
      </c>
      <c r="I5" s="28" t="n">
        <v>6788</v>
      </c>
      <c r="J5" s="28" t="n">
        <v>10421</v>
      </c>
      <c r="K5" s="28" t="n">
        <v>14147</v>
      </c>
      <c r="L5" s="28" t="n">
        <v>17820</v>
      </c>
      <c r="M5" s="28" t="n">
        <v>21281</v>
      </c>
      <c r="N5" s="28" t="n">
        <v>17077</v>
      </c>
      <c r="O5" s="28" t="n">
        <v>16777</v>
      </c>
      <c r="P5" s="28" t="n">
        <v>16420</v>
      </c>
      <c r="Q5" s="28" t="n">
        <v>16152</v>
      </c>
      <c r="R5" s="28" t="n">
        <v>16203</v>
      </c>
      <c r="S5" s="28" t="n">
        <v>20502</v>
      </c>
      <c r="T5" s="28" t="n">
        <v>57236</v>
      </c>
      <c r="U5" s="28" t="n">
        <v>85105</v>
      </c>
      <c r="V5" s="28" t="n">
        <v>130069</v>
      </c>
      <c r="W5" s="28" t="n">
        <v>179319</v>
      </c>
      <c r="X5" s="28" t="n">
        <v>229924</v>
      </c>
      <c r="Y5" s="28" t="n">
        <v>278476</v>
      </c>
    </row>
    <row r="6">
      <c r="A6" s="4" t="inlineStr">
        <is>
          <t>Total Costs</t>
        </is>
      </c>
      <c r="B6" s="28" t="n">
        <v>1421</v>
      </c>
      <c r="C6" s="28" t="n">
        <v>715</v>
      </c>
      <c r="D6" s="28" t="n">
        <v>761</v>
      </c>
      <c r="E6" s="28" t="n">
        <v>5311</v>
      </c>
      <c r="F6" s="28" t="n">
        <v>863</v>
      </c>
      <c r="G6" s="28" t="n">
        <v>4432</v>
      </c>
      <c r="H6" s="28" t="n">
        <v>2862</v>
      </c>
      <c r="I6" s="28" t="n">
        <v>8332</v>
      </c>
      <c r="J6" s="28" t="n">
        <v>3978</v>
      </c>
      <c r="K6" s="28" t="n">
        <v>4717</v>
      </c>
      <c r="L6" s="28" t="n">
        <v>9502</v>
      </c>
      <c r="M6" s="28" t="n">
        <v>11300</v>
      </c>
      <c r="N6" s="28" t="n">
        <v>7728</v>
      </c>
      <c r="O6" s="28" t="n">
        <v>7251</v>
      </c>
      <c r="P6" s="28" t="n">
        <v>13265</v>
      </c>
      <c r="Q6" s="28" t="n">
        <v>13275</v>
      </c>
      <c r="R6" s="28" t="n">
        <v>7296</v>
      </c>
      <c r="S6" s="28" t="n">
        <v>12463</v>
      </c>
      <c r="T6" s="28" t="n">
        <v>13672</v>
      </c>
      <c r="U6" s="28" t="n">
        <v>25735</v>
      </c>
      <c r="V6" s="28" t="n">
        <v>23852</v>
      </c>
      <c r="W6" s="28" t="n">
        <v>31317</v>
      </c>
      <c r="X6" s="28" t="n">
        <v>44545</v>
      </c>
      <c r="Y6" s="28" t="n">
        <v>54054</v>
      </c>
    </row>
    <row r="8">
      <c r="A8" s="14" t="inlineStr">
        <is>
          <t>NET INCOME (LOSS)</t>
        </is>
      </c>
      <c r="B8" s="15" t="n">
        <v>-1366</v>
      </c>
      <c r="C8" s="15" t="n">
        <v>-580</v>
      </c>
      <c r="D8" s="15" t="n">
        <v>-523</v>
      </c>
      <c r="E8" s="15" t="n">
        <v>-4945</v>
      </c>
      <c r="F8" s="15" t="n">
        <v>-330</v>
      </c>
      <c r="G8" s="15" t="n">
        <v>-3276</v>
      </c>
      <c r="H8" s="15" t="n">
        <v>1698</v>
      </c>
      <c r="I8" s="15" t="n">
        <v>-1544</v>
      </c>
      <c r="J8" s="15" t="n">
        <v>6443</v>
      </c>
      <c r="K8" s="15" t="n">
        <v>9430</v>
      </c>
      <c r="L8" s="15" t="n">
        <v>8318</v>
      </c>
      <c r="M8" s="15" t="n">
        <v>9980</v>
      </c>
      <c r="N8" s="15" t="n">
        <v>9349</v>
      </c>
      <c r="O8" s="15" t="n">
        <v>9526</v>
      </c>
      <c r="P8" s="15" t="n">
        <v>3154</v>
      </c>
      <c r="Q8" s="15" t="n">
        <v>2877</v>
      </c>
      <c r="R8" s="15" t="n">
        <v>8907</v>
      </c>
      <c r="S8" s="15" t="n">
        <v>8040</v>
      </c>
      <c r="T8" s="15" t="n">
        <v>43564</v>
      </c>
      <c r="U8" s="15" t="n">
        <v>59370</v>
      </c>
      <c r="V8" s="15" t="n">
        <v>106217</v>
      </c>
      <c r="W8" s="15" t="n">
        <v>148003</v>
      </c>
      <c r="X8" s="15" t="n">
        <v>185380</v>
      </c>
      <c r="Y8" s="15" t="n">
        <v>224422</v>
      </c>
      <c r="Z8" s="14" t="n"/>
    </row>
    <row r="9">
      <c r="A9" s="4" t="inlineStr">
        <is>
          <t>Gross Margin %</t>
        </is>
      </c>
      <c r="B9" s="29" t="n">
        <v>-24.87</v>
      </c>
      <c r="C9" s="29" t="n">
        <v>-4.31</v>
      </c>
      <c r="D9" s="29" t="n">
        <v>-2.19</v>
      </c>
      <c r="E9" s="29" t="n">
        <v>-13.53</v>
      </c>
      <c r="F9" s="29" t="n">
        <v>-0.62</v>
      </c>
      <c r="G9" s="29" t="n">
        <v>-2.83</v>
      </c>
      <c r="H9" s="29" t="n">
        <v>0.37</v>
      </c>
      <c r="I9" s="29" t="n">
        <v>-0.23</v>
      </c>
      <c r="J9" s="29" t="n">
        <v>0.62</v>
      </c>
      <c r="K9" s="29" t="n">
        <v>0.67</v>
      </c>
      <c r="L9" s="29" t="n">
        <v>0.47</v>
      </c>
      <c r="M9" s="29" t="n">
        <v>0.47</v>
      </c>
      <c r="N9" s="29" t="n">
        <v>0.55</v>
      </c>
      <c r="O9" s="29" t="n">
        <v>0.57</v>
      </c>
      <c r="P9" s="29" t="n">
        <v>0.19</v>
      </c>
      <c r="Q9" s="29" t="n">
        <v>0.18</v>
      </c>
      <c r="R9" s="29" t="n">
        <v>0.55</v>
      </c>
      <c r="S9" s="29" t="n">
        <v>0.39</v>
      </c>
      <c r="T9" s="29" t="n">
        <v>0.76</v>
      </c>
      <c r="U9" s="29" t="n">
        <v>0.7</v>
      </c>
      <c r="V9" s="29" t="n">
        <v>0.82</v>
      </c>
      <c r="W9" s="29" t="n">
        <v>0.83</v>
      </c>
      <c r="X9" s="29" t="n">
        <v>0.8100000000000001</v>
      </c>
      <c r="Y9" s="29" t="n">
        <v>0.8100000000000001</v>
      </c>
    </row>
    <row r="11">
      <c r="A11" s="4" t="inlineStr">
        <is>
          <t>Cumulative Revenue</t>
        </is>
      </c>
      <c r="B11" s="28" t="n">
        <v>55</v>
      </c>
      <c r="C11" s="28" t="n">
        <v>190</v>
      </c>
      <c r="D11" s="28" t="n">
        <v>428</v>
      </c>
      <c r="E11" s="28" t="n">
        <v>793</v>
      </c>
      <c r="F11" s="28" t="n">
        <v>1326</v>
      </c>
      <c r="G11" s="28" t="n">
        <v>2482</v>
      </c>
      <c r="H11" s="28" t="n">
        <v>7043</v>
      </c>
      <c r="I11" s="28" t="n">
        <v>13831</v>
      </c>
      <c r="J11" s="28" t="n">
        <v>24251</v>
      </c>
      <c r="K11" s="28" t="n">
        <v>38399</v>
      </c>
      <c r="L11" s="28" t="n">
        <v>56219</v>
      </c>
      <c r="M11" s="28" t="n">
        <v>77500</v>
      </c>
      <c r="N11" s="28" t="n">
        <v>94576</v>
      </c>
      <c r="O11" s="28" t="n">
        <v>111353</v>
      </c>
      <c r="P11" s="28" t="n">
        <v>127773</v>
      </c>
      <c r="Q11" s="28" t="n">
        <v>143925</v>
      </c>
      <c r="R11" s="28" t="n">
        <v>160128</v>
      </c>
      <c r="S11" s="28" t="n">
        <v>180630</v>
      </c>
      <c r="T11" s="28" t="n">
        <v>237867</v>
      </c>
      <c r="U11" s="28" t="n">
        <v>322972</v>
      </c>
      <c r="V11" s="28" t="n">
        <v>453040</v>
      </c>
      <c r="W11" s="28" t="n">
        <v>632360</v>
      </c>
      <c r="X11" s="28" t="n">
        <v>862284</v>
      </c>
      <c r="Y11" s="28" t="n">
        <v>1140760</v>
      </c>
    </row>
    <row r="12">
      <c r="A12" s="22" t="inlineStr">
        <is>
          <t>Cumulative Net Income (Loss)</t>
        </is>
      </c>
      <c r="B12" s="30" t="n">
        <v>-1366</v>
      </c>
      <c r="C12" s="30" t="n">
        <v>-1946</v>
      </c>
      <c r="D12" s="30" t="n">
        <v>-2469</v>
      </c>
      <c r="E12" s="30" t="n">
        <v>-7415</v>
      </c>
      <c r="F12" s="30" t="n">
        <v>-7745</v>
      </c>
      <c r="G12" s="30" t="n">
        <v>-11021</v>
      </c>
      <c r="H12" s="30" t="n">
        <v>-9323</v>
      </c>
      <c r="I12" s="30" t="n">
        <v>-10867</v>
      </c>
      <c r="J12" s="30" t="n">
        <v>-4424</v>
      </c>
      <c r="K12" s="31" t="n">
        <v>5006</v>
      </c>
      <c r="L12" s="31" t="n">
        <v>13323</v>
      </c>
      <c r="M12" s="31" t="n">
        <v>23304</v>
      </c>
      <c r="N12" s="31" t="n">
        <v>32652</v>
      </c>
      <c r="O12" s="31" t="n">
        <v>42179</v>
      </c>
      <c r="P12" s="31" t="n">
        <v>45333</v>
      </c>
      <c r="Q12" s="31" t="n">
        <v>48210</v>
      </c>
      <c r="R12" s="31" t="n">
        <v>57117</v>
      </c>
      <c r="S12" s="31" t="n">
        <v>65157</v>
      </c>
      <c r="T12" s="31" t="n">
        <v>108721</v>
      </c>
      <c r="U12" s="31" t="n">
        <v>168091</v>
      </c>
      <c r="V12" s="31" t="n">
        <v>274308</v>
      </c>
      <c r="W12" s="31" t="n">
        <v>422310</v>
      </c>
      <c r="X12" s="31" t="n">
        <v>607690</v>
      </c>
      <c r="Y12" s="31" t="n">
        <v>832112</v>
      </c>
    </row>
    <row r="14">
      <c r="A14" s="4" t="inlineStr">
        <is>
          <t>TOTAL USERS</t>
        </is>
      </c>
      <c r="B14" s="28" t="n">
        <v>150</v>
      </c>
      <c r="C14" s="28" t="n">
        <v>328</v>
      </c>
      <c r="D14" s="28" t="n">
        <v>528</v>
      </c>
      <c r="E14" s="28" t="n">
        <v>749</v>
      </c>
      <c r="F14" s="28" t="n">
        <v>1038</v>
      </c>
      <c r="G14" s="28" t="n">
        <v>1383</v>
      </c>
      <c r="H14" s="28" t="n">
        <v>3301</v>
      </c>
      <c r="I14" s="28" t="n">
        <v>5606</v>
      </c>
      <c r="J14" s="28" t="n">
        <v>7479</v>
      </c>
      <c r="K14" s="28" t="n">
        <v>8847</v>
      </c>
      <c r="L14" s="28" t="n">
        <v>9845</v>
      </c>
      <c r="M14" s="28" t="n">
        <v>10496</v>
      </c>
      <c r="N14" s="28" t="n">
        <v>10210</v>
      </c>
      <c r="O14" s="28" t="n">
        <v>9767</v>
      </c>
      <c r="P14" s="28" t="n">
        <v>9289</v>
      </c>
      <c r="Q14" s="28" t="n">
        <v>9182</v>
      </c>
      <c r="R14" s="28" t="n">
        <v>9890</v>
      </c>
      <c r="S14" s="28" t="n">
        <v>11990</v>
      </c>
      <c r="T14" s="28" t="n">
        <v>28320</v>
      </c>
      <c r="U14" s="28" t="n">
        <v>46698</v>
      </c>
      <c r="V14" s="28" t="n">
        <v>64043</v>
      </c>
      <c r="W14" s="28" t="n">
        <v>78461</v>
      </c>
      <c r="X14" s="28" t="n">
        <v>90159</v>
      </c>
      <c r="Y14" s="28" t="n">
        <v>98320</v>
      </c>
    </row>
    <row r="15">
      <c r="A15" s="4" t="inlineStr">
        <is>
          <t>Premium Subscribers</t>
        </is>
      </c>
      <c r="B15" s="28" t="n">
        <v>0</v>
      </c>
      <c r="C15" s="28" t="n">
        <v>3</v>
      </c>
      <c r="D15" s="28" t="n">
        <v>8</v>
      </c>
      <c r="E15" s="28" t="n">
        <v>16</v>
      </c>
      <c r="F15" s="28" t="n">
        <v>27</v>
      </c>
      <c r="G15" s="28" t="n">
        <v>41</v>
      </c>
      <c r="H15" s="28" t="n">
        <v>143</v>
      </c>
      <c r="I15" s="28" t="n">
        <v>383</v>
      </c>
      <c r="J15" s="28" t="n">
        <v>773</v>
      </c>
      <c r="K15" s="28" t="n">
        <v>1263</v>
      </c>
      <c r="L15" s="28" t="n">
        <v>1803</v>
      </c>
      <c r="M15" s="28" t="n">
        <v>2359</v>
      </c>
      <c r="N15" s="28" t="n">
        <v>2321</v>
      </c>
      <c r="O15" s="28" t="n">
        <v>2282</v>
      </c>
      <c r="P15" s="28" t="n">
        <v>2237</v>
      </c>
      <c r="Q15" s="28" t="n">
        <v>2185</v>
      </c>
      <c r="R15" s="28" t="n">
        <v>2138</v>
      </c>
      <c r="S15" s="28" t="n">
        <v>2118</v>
      </c>
      <c r="T15" s="28" t="n">
        <v>3284</v>
      </c>
      <c r="U15" s="28" t="n">
        <v>6319</v>
      </c>
      <c r="V15" s="28" t="n">
        <v>11175</v>
      </c>
      <c r="W15" s="28" t="n">
        <v>17426</v>
      </c>
      <c r="X15" s="28" t="n">
        <v>24477</v>
      </c>
      <c r="Y15" s="28" t="n">
        <v>31855</v>
      </c>
    </row>
    <row r="16">
      <c r="A16" s="4" t="inlineStr">
        <is>
          <t>Revenue Per User (ARPU)</t>
        </is>
      </c>
      <c r="B16" s="32" t="n">
        <v>0.37</v>
      </c>
      <c r="C16" s="32" t="n">
        <v>0.41</v>
      </c>
      <c r="D16" s="32" t="n">
        <v>0.45</v>
      </c>
      <c r="E16" s="32" t="n">
        <v>0.49</v>
      </c>
      <c r="F16" s="32" t="n">
        <v>0.51</v>
      </c>
      <c r="G16" s="32" t="n">
        <v>0.84</v>
      </c>
      <c r="H16" s="32" t="n">
        <v>1.38</v>
      </c>
      <c r="I16" s="32" t="n">
        <v>1.21</v>
      </c>
      <c r="J16" s="32" t="n">
        <v>1.39</v>
      </c>
      <c r="K16" s="32" t="n">
        <v>1.6</v>
      </c>
      <c r="L16" s="32" t="n">
        <v>1.81</v>
      </c>
      <c r="M16" s="32" t="n">
        <v>2.03</v>
      </c>
      <c r="N16" s="32" t="n">
        <v>1.67</v>
      </c>
      <c r="O16" s="32" t="n">
        <v>1.72</v>
      </c>
      <c r="P16" s="32" t="n">
        <v>1.77</v>
      </c>
      <c r="Q16" s="32" t="n">
        <v>1.76</v>
      </c>
      <c r="R16" s="32" t="n">
        <v>1.64</v>
      </c>
      <c r="S16" s="32" t="n">
        <v>1.71</v>
      </c>
      <c r="T16" s="32" t="n">
        <v>2.02</v>
      </c>
      <c r="U16" s="32" t="n">
        <v>1.82</v>
      </c>
      <c r="V16" s="32" t="n">
        <v>2.03</v>
      </c>
      <c r="W16" s="32" t="n">
        <v>2.29</v>
      </c>
      <c r="X16" s="32" t="n">
        <v>2.55</v>
      </c>
      <c r="Y16" s="32" t="n">
        <v>2.83</v>
      </c>
    </row>
    <row r="17">
      <c r="A17" s="4" t="inlineStr">
        <is>
          <t>Cost Per User</t>
        </is>
      </c>
      <c r="B17" s="32" t="n">
        <v>9.470000000000001</v>
      </c>
      <c r="C17" s="32" t="n">
        <v>2.18</v>
      </c>
      <c r="D17" s="32" t="n">
        <v>1.44</v>
      </c>
      <c r="E17" s="32" t="n">
        <v>7.09</v>
      </c>
      <c r="F17" s="32" t="n">
        <v>0.83</v>
      </c>
      <c r="G17" s="32" t="n">
        <v>3.2</v>
      </c>
      <c r="H17" s="32" t="n">
        <v>0.87</v>
      </c>
      <c r="I17" s="32" t="n">
        <v>1.49</v>
      </c>
      <c r="J17" s="32" t="n">
        <v>0.53</v>
      </c>
      <c r="K17" s="32" t="n">
        <v>0.53</v>
      </c>
      <c r="L17" s="32" t="n">
        <v>0.97</v>
      </c>
      <c r="M17" s="32" t="n">
        <v>1.08</v>
      </c>
      <c r="N17" s="32" t="n">
        <v>0.76</v>
      </c>
      <c r="O17" s="32" t="n">
        <v>0.74</v>
      </c>
      <c r="P17" s="32" t="n">
        <v>1.43</v>
      </c>
      <c r="Q17" s="32" t="n">
        <v>1.45</v>
      </c>
      <c r="R17" s="32" t="n">
        <v>0.74</v>
      </c>
      <c r="S17" s="32" t="n">
        <v>1.04</v>
      </c>
      <c r="T17" s="32" t="n">
        <v>0.48</v>
      </c>
      <c r="U17" s="32" t="n">
        <v>0.55</v>
      </c>
      <c r="V17" s="32" t="n">
        <v>0.37</v>
      </c>
      <c r="W17" s="32" t="n">
        <v>0.4</v>
      </c>
      <c r="X17" s="32" t="n">
        <v>0.49</v>
      </c>
      <c r="Y17" s="32" t="n">
        <v>0.55</v>
      </c>
    </row>
    <row r="18">
      <c r="A18" s="4" t="inlineStr">
        <is>
          <t>LTV:CAC Indicator</t>
        </is>
      </c>
      <c r="B18" s="33" t="n">
        <v>0.04</v>
      </c>
      <c r="C18" s="33" t="n">
        <v>0.19</v>
      </c>
      <c r="D18" s="33" t="n">
        <v>0.31</v>
      </c>
      <c r="E18" s="33" t="n">
        <v>0.07000000000000001</v>
      </c>
      <c r="F18" s="33" t="n">
        <v>0.62</v>
      </c>
      <c r="G18" s="33" t="n">
        <v>0.26</v>
      </c>
      <c r="H18" s="33" t="n">
        <v>1.59</v>
      </c>
      <c r="I18" s="33" t="n">
        <v>0.8100000000000001</v>
      </c>
      <c r="J18" s="33" t="n">
        <v>2.62</v>
      </c>
      <c r="K18" s="33" t="n">
        <v>3</v>
      </c>
      <c r="L18" s="33" t="n">
        <v>1.88</v>
      </c>
      <c r="M18" s="33" t="n">
        <v>1.88</v>
      </c>
      <c r="N18" s="33" t="n">
        <v>2.21</v>
      </c>
      <c r="O18" s="33" t="n">
        <v>2.31</v>
      </c>
      <c r="P18" s="33" t="n">
        <v>1.24</v>
      </c>
      <c r="Q18" s="33" t="n">
        <v>1.22</v>
      </c>
      <c r="R18" s="33" t="n">
        <v>2.22</v>
      </c>
      <c r="S18" s="33" t="n">
        <v>1.65</v>
      </c>
      <c r="T18" s="33" t="n">
        <v>4.19</v>
      </c>
      <c r="U18" s="33" t="n">
        <v>3.31</v>
      </c>
      <c r="V18" s="33" t="n">
        <v>5.45</v>
      </c>
      <c r="W18" s="33" t="n">
        <v>5.73</v>
      </c>
      <c r="X18" s="33" t="n">
        <v>5.16</v>
      </c>
      <c r="Y18" s="33" t="n">
        <v>5.15</v>
      </c>
    </row>
  </sheetData>
  <mergeCells count="1">
    <mergeCell ref="A1:Z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A6741"/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15" customWidth="1" min="4" max="4"/>
  </cols>
  <sheetData>
    <row r="1">
      <c r="A1" s="1" t="inlineStr">
        <is>
          <t>ANNUAL SUMMARY — Year 1 vs Year 2</t>
        </is>
      </c>
    </row>
    <row r="3">
      <c r="A3" s="12" t="inlineStr">
        <is>
          <t>Metric</t>
        </is>
      </c>
      <c r="B3" s="12" t="inlineStr">
        <is>
          <t>Year 1 (Apr 26–Mar 27)</t>
        </is>
      </c>
      <c r="C3" s="12" t="inlineStr">
        <is>
          <t>Year 2 (Apr 27–Mar 28)</t>
        </is>
      </c>
      <c r="D3" s="12" t="inlineStr">
        <is>
          <t>Growth</t>
        </is>
      </c>
    </row>
    <row r="4">
      <c r="A4" s="3" t="inlineStr">
        <is>
          <t>USERS</t>
        </is>
      </c>
    </row>
    <row r="5">
      <c r="A5" s="4" t="inlineStr">
        <is>
          <t>End-of-Year Total Users</t>
        </is>
      </c>
      <c r="B5" s="13" t="n">
        <v>10496</v>
      </c>
      <c r="C5" s="13" t="n">
        <v>98320</v>
      </c>
    </row>
    <row r="6">
      <c r="A6" s="4" t="inlineStr">
        <is>
          <t>End-of-Year Pro Subscribers</t>
        </is>
      </c>
      <c r="B6" s="13" t="n">
        <v>1910</v>
      </c>
      <c r="C6" s="13" t="n">
        <v>24837</v>
      </c>
    </row>
    <row r="7">
      <c r="A7" s="4" t="inlineStr">
        <is>
          <t>End-of-Year Commissioner Subs</t>
        </is>
      </c>
      <c r="B7" s="13" t="n">
        <v>449</v>
      </c>
      <c r="C7" s="13" t="n">
        <v>7018</v>
      </c>
    </row>
    <row r="8">
      <c r="A8" s="4" t="inlineStr">
        <is>
          <t>Premium % of Total</t>
        </is>
      </c>
      <c r="B8" s="34" t="inlineStr">
        <is>
          <t>22.5%</t>
        </is>
      </c>
      <c r="C8" s="34" t="inlineStr">
        <is>
          <t>32.4%</t>
        </is>
      </c>
    </row>
    <row r="10">
      <c r="A10" s="3" t="inlineStr">
        <is>
          <t>REVENUE</t>
        </is>
      </c>
    </row>
    <row r="11">
      <c r="A11" s="4" t="inlineStr">
        <is>
          <t>Subscription Revenue</t>
        </is>
      </c>
      <c r="B11" s="13" t="n">
        <v>40473.44582288782</v>
      </c>
      <c r="C11" s="13" t="n">
        <v>656580.5629780137</v>
      </c>
      <c r="D11" s="29" t="n">
        <v>15.22250217713649</v>
      </c>
    </row>
    <row r="12">
      <c r="A12" s="4" t="inlineStr">
        <is>
          <t>Pay-Per-Use Revenue</t>
        </is>
      </c>
      <c r="B12" s="13" t="n">
        <v>3990.98824231727</v>
      </c>
      <c r="C12" s="13" t="n">
        <v>39726.70780446646</v>
      </c>
      <c r="D12" s="29" t="n">
        <v>8.95410294203225</v>
      </c>
    </row>
    <row r="13">
      <c r="A13" s="4" t="inlineStr">
        <is>
          <t>DFS Revenue</t>
        </is>
      </c>
      <c r="B13" s="13" t="n">
        <v>0</v>
      </c>
      <c r="C13" s="13" t="n">
        <v>97440.56159601365</v>
      </c>
      <c r="D13" s="35" t="inlineStr">
        <is>
          <t>NEW</t>
        </is>
      </c>
    </row>
    <row r="14">
      <c r="A14" s="4" t="inlineStr">
        <is>
          <t>Advertising Revenue</t>
        </is>
      </c>
      <c r="B14" s="13" t="n">
        <v>33035.09568619764</v>
      </c>
      <c r="C14" s="13" t="n">
        <v>269512.4569919152</v>
      </c>
      <c r="D14" s="29" t="n">
        <v>7.158367681208802</v>
      </c>
    </row>
    <row r="15">
      <c r="A15" s="22" t="inlineStr">
        <is>
          <t>TOTAL REVENUE</t>
        </is>
      </c>
      <c r="B15" s="23" t="n">
        <v>77499.52975140273</v>
      </c>
      <c r="C15" s="23" t="n">
        <v>1063260.289370409</v>
      </c>
      <c r="D15" s="29" t="n">
        <v>12.71957085134654</v>
      </c>
    </row>
    <row r="17">
      <c r="A17" s="3" t="inlineStr">
        <is>
          <t>COSTS</t>
        </is>
      </c>
    </row>
    <row r="18">
      <c r="A18" s="4" t="inlineStr">
        <is>
          <t>Infrastructure</t>
        </is>
      </c>
      <c r="B18" s="13" t="n">
        <v>2594.255308637736</v>
      </c>
      <c r="C18" s="13" t="n">
        <v>11081.30988538878</v>
      </c>
    </row>
    <row r="19">
      <c r="A19" s="4" t="inlineStr">
        <is>
          <t>Marketing (Digital + Content)</t>
        </is>
      </c>
      <c r="B19" s="13" t="n">
        <v>13350</v>
      </c>
      <c r="C19" s="13" t="n">
        <v>46950</v>
      </c>
    </row>
    <row r="20">
      <c r="A20" s="4" t="inlineStr">
        <is>
          <t>Conference &amp; Travel</t>
        </is>
      </c>
      <c r="B20" s="13" t="n">
        <v>22750</v>
      </c>
      <c r="C20" s="13" t="n">
        <v>36500</v>
      </c>
    </row>
    <row r="21">
      <c r="A21" s="4" t="inlineStr">
        <is>
          <t>Team / Contractors</t>
        </is>
      </c>
      <c r="B21" s="13" t="n">
        <v>9000</v>
      </c>
      <c r="C21" s="13" t="n">
        <v>54000</v>
      </c>
    </row>
    <row r="22">
      <c r="A22" s="4" t="inlineStr">
        <is>
          <t>Platform Fees</t>
        </is>
      </c>
      <c r="B22" s="13" t="n">
        <v>6501.377667966505</v>
      </c>
      <c r="C22" s="13" t="n">
        <v>105921.052784682</v>
      </c>
    </row>
    <row r="23">
      <c r="A23" s="22" t="inlineStr">
        <is>
          <t>TOTAL COSTS</t>
        </is>
      </c>
      <c r="B23" s="23" t="n">
        <v>54195.63297660425</v>
      </c>
      <c r="C23" s="23" t="n">
        <v>254452.3626700708</v>
      </c>
      <c r="D23" s="29" t="n">
        <v>3.695071331299249</v>
      </c>
    </row>
    <row r="25">
      <c r="A25" s="3" t="inlineStr">
        <is>
          <t>PROFITABILITY</t>
        </is>
      </c>
    </row>
    <row r="26">
      <c r="A26" s="22" t="inlineStr">
        <is>
          <t>NET INCOME (LOSS)</t>
        </is>
      </c>
      <c r="B26" s="36" t="n">
        <v>23303.89677479849</v>
      </c>
      <c r="C26" s="36" t="n">
        <v>808807.9267003383</v>
      </c>
    </row>
    <row r="27">
      <c r="A27" s="4" t="inlineStr">
        <is>
          <t>Gross Margin</t>
        </is>
      </c>
      <c r="B27" s="16" t="n">
        <v>0.3006972668034374</v>
      </c>
      <c r="C27" s="16" t="n">
        <v>0.7606866679646803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4702A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>
      <c r="A1" s="1" t="inlineStr">
        <is>
          <t>SENSITIVITY ANALYSIS — Key Variable Impact on Year 2 Revenue</t>
        </is>
      </c>
    </row>
    <row r="3">
      <c r="A3" s="2" t="inlineStr">
        <is>
          <t>What happens if key assumptions change?</t>
        </is>
      </c>
    </row>
    <row r="4">
      <c r="A4" s="26" t="inlineStr">
        <is>
          <t>PREMIUM CONVERSION RATE SENSITIVITY</t>
        </is>
      </c>
    </row>
    <row r="5">
      <c r="A5" s="12" t="inlineStr">
        <is>
          <t>Conversion Rate</t>
        </is>
      </c>
      <c r="B5" s="12" t="inlineStr">
        <is>
          <t>Pro Subs (Y2 End)</t>
        </is>
      </c>
      <c r="C5" s="12" t="inlineStr">
        <is>
          <t>Commish Subs (Y2 End)</t>
        </is>
      </c>
      <c r="D5" s="12" t="inlineStr">
        <is>
          <t>Annual Sub Revenue</t>
        </is>
      </c>
      <c r="E5" s="12" t="inlineStr">
        <is>
          <t>vs Base Case</t>
        </is>
      </c>
    </row>
    <row r="6">
      <c r="A6" s="37" t="inlineStr">
        <is>
          <t>2.0%</t>
        </is>
      </c>
      <c r="B6" s="37" t="n">
        <v>1376</v>
      </c>
      <c r="C6" s="37" t="n">
        <v>344</v>
      </c>
      <c r="D6" s="28" t="n">
        <v>123677</v>
      </c>
      <c r="E6" s="38" t="n">
        <v>-0.8116348214251773</v>
      </c>
    </row>
    <row r="7">
      <c r="A7" s="37" t="inlineStr">
        <is>
          <t>3.5%</t>
        </is>
      </c>
      <c r="B7" s="37" t="n">
        <v>2409</v>
      </c>
      <c r="C7" s="37" t="n">
        <v>602</v>
      </c>
      <c r="D7" s="28" t="n">
        <v>216435</v>
      </c>
      <c r="E7" s="38" t="n">
        <v>-0.6703609374940602</v>
      </c>
    </row>
    <row r="8">
      <c r="A8" s="39" t="inlineStr">
        <is>
          <t>5.5% (BASE)</t>
        </is>
      </c>
      <c r="B8" s="39" t="n">
        <v>3785</v>
      </c>
      <c r="C8" s="39" t="n">
        <v>946</v>
      </c>
      <c r="D8" s="25" t="n">
        <v>340112</v>
      </c>
      <c r="E8" s="40" t="n">
        <v>-0.4819957589192374</v>
      </c>
    </row>
    <row r="9">
      <c r="A9" s="37" t="inlineStr">
        <is>
          <t>8.0%</t>
        </is>
      </c>
      <c r="B9" s="37" t="n">
        <v>5506</v>
      </c>
      <c r="C9" s="37" t="n">
        <v>1376</v>
      </c>
      <c r="D9" s="28" t="n">
        <v>494708</v>
      </c>
      <c r="E9" s="38" t="n">
        <v>-0.2465392857007092</v>
      </c>
    </row>
    <row r="10">
      <c r="A10" s="37" t="inlineStr">
        <is>
          <t>10.0%</t>
        </is>
      </c>
      <c r="B10" s="37" t="n">
        <v>6882</v>
      </c>
      <c r="C10" s="37" t="n">
        <v>1721</v>
      </c>
      <c r="D10" s="28" t="n">
        <v>618385</v>
      </c>
      <c r="E10" s="38" t="n">
        <v>-0.05817410712588633</v>
      </c>
    </row>
    <row r="13">
      <c r="A13" s="26" t="inlineStr">
        <is>
          <t>CHURN RATE SENSITIVITY (In-Season Monthly)</t>
        </is>
      </c>
    </row>
    <row r="14">
      <c r="A14" s="12" t="inlineStr">
        <is>
          <t>Monthly Churn</t>
        </is>
      </c>
      <c r="B14" s="12" t="inlineStr">
        <is>
          <t>Annual Retention</t>
        </is>
      </c>
      <c r="C14" s="12" t="inlineStr">
        <is>
          <t>Impact on Subscriber Base</t>
        </is>
      </c>
      <c r="D14" s="12" t="inlineStr">
        <is>
          <t>Revenue Impact vs Base</t>
        </is>
      </c>
      <c r="E14" s="12" t="inlineStr">
        <is>
          <t>Benchmark</t>
        </is>
      </c>
    </row>
    <row r="15">
      <c r="A15" s="37" t="inlineStr">
        <is>
          <t>2%/mo</t>
        </is>
      </c>
      <c r="B15" s="29" t="n">
        <v>0.7847167237347998</v>
      </c>
      <c r="C15" s="37" t="inlineStr">
        <is>
          <t>+5% vs Sleeper</t>
        </is>
      </c>
      <c r="D15" s="37" t="inlineStr">
        <is>
          <t>+3%</t>
        </is>
      </c>
      <c r="E15" s="37" t="inlineStr">
        <is>
          <t>Best-in-class SaaS</t>
        </is>
      </c>
    </row>
    <row r="16">
      <c r="A16" s="39" t="inlineStr">
        <is>
          <t>4%/mo</t>
        </is>
      </c>
      <c r="B16" s="41" t="n">
        <v>0.6127097573297671</v>
      </c>
      <c r="C16" s="39" t="inlineStr">
        <is>
          <t>-18% vs Sleeper</t>
        </is>
      </c>
      <c r="D16" s="39" t="inlineStr">
        <is>
          <t>-11%</t>
        </is>
      </c>
      <c r="E16" s="39" t="inlineStr">
        <is>
          <t>BASE CASE</t>
        </is>
      </c>
    </row>
    <row r="17">
      <c r="A17" s="37" t="inlineStr">
        <is>
          <t>6%/mo</t>
        </is>
      </c>
      <c r="B17" s="29" t="n">
        <v>0.4759203148142531</v>
      </c>
      <c r="C17" s="37" t="inlineStr">
        <is>
          <t>-37% vs Sleeper</t>
        </is>
      </c>
      <c r="D17" s="37" t="inlineStr">
        <is>
          <t>-22%</t>
        </is>
      </c>
      <c r="E17" s="37" t="inlineStr">
        <is>
          <t>Avg mobile sub</t>
        </is>
      </c>
    </row>
    <row r="18">
      <c r="A18" s="37" t="inlineStr">
        <is>
          <t>9%/mo</t>
        </is>
      </c>
      <c r="B18" s="29" t="n">
        <v>0.3224754874136049</v>
      </c>
      <c r="C18" s="37" t="inlineStr">
        <is>
          <t>-57% vs Sleeper</t>
        </is>
      </c>
      <c r="D18" s="37" t="inlineStr">
        <is>
          <t>-34%</t>
        </is>
      </c>
      <c r="E18" s="37" t="inlineStr">
        <is>
          <t>Mobile app avg</t>
        </is>
      </c>
    </row>
    <row r="19">
      <c r="A19" s="37" t="inlineStr">
        <is>
          <t>12%/mo</t>
        </is>
      </c>
      <c r="B19" s="29" t="n">
        <v>0.215671155821681</v>
      </c>
      <c r="C19" s="37" t="inlineStr">
        <is>
          <t>-71% vs Sleeper</t>
        </is>
      </c>
      <c r="D19" s="37" t="inlineStr">
        <is>
          <t>-43%</t>
        </is>
      </c>
      <c r="E19" s="37" t="inlineStr">
        <is>
          <t>High churn</t>
        </is>
      </c>
    </row>
    <row r="22">
      <c r="A22" s="26" t="inlineStr">
        <is>
          <t>USER GROWTH GATE SENSITIVITY</t>
        </is>
      </c>
    </row>
    <row r="23">
      <c r="A23" s="12" t="inlineStr">
        <is>
          <t>Scenario</t>
        </is>
      </c>
      <c r="B23" s="12" t="inlineStr">
        <is>
          <t>Y1 End Users</t>
        </is>
      </c>
      <c r="C23" s="12" t="inlineStr">
        <is>
          <t>Y2 End Users</t>
        </is>
      </c>
      <c r="D23" s="12" t="inlineStr">
        <is>
          <t>Y2 Total Revenue</t>
        </is>
      </c>
      <c r="E23" s="12" t="inlineStr">
        <is>
          <t>Breakeven Month</t>
        </is>
      </c>
    </row>
    <row r="24">
      <c r="A24" s="37" t="inlineStr">
        <is>
          <t>Conservative (50% of target)</t>
        </is>
      </c>
      <c r="B24" s="28" t="n">
        <v>5248</v>
      </c>
      <c r="C24" s="28" t="n">
        <v>49160</v>
      </c>
      <c r="D24" s="28" t="n">
        <v>478467</v>
      </c>
      <c r="E24" s="37" t="inlineStr">
        <is>
          <t>Month 28+</t>
        </is>
      </c>
    </row>
    <row r="25">
      <c r="A25" s="39" t="inlineStr">
        <is>
          <t>Base Case</t>
        </is>
      </c>
      <c r="B25" s="25" t="n">
        <v>10496</v>
      </c>
      <c r="C25" s="25" t="n">
        <v>98320</v>
      </c>
      <c r="D25" s="25" t="n">
        <v>1063260</v>
      </c>
      <c r="E25" s="39" t="inlineStr">
        <is>
          <t>Month 10</t>
        </is>
      </c>
    </row>
    <row r="26">
      <c r="A26" s="37" t="inlineStr">
        <is>
          <t>Aggressive (Sleeper-like viral)</t>
        </is>
      </c>
      <c r="B26" s="28" t="n">
        <v>20992</v>
      </c>
      <c r="C26" s="28" t="n">
        <v>245800</v>
      </c>
      <c r="D26" s="28" t="n">
        <v>2977129</v>
      </c>
      <c r="E26" s="37" t="inlineStr">
        <is>
          <t>Month 14</t>
        </is>
      </c>
    </row>
    <row r="27">
      <c r="A27" s="37" t="inlineStr">
        <is>
          <t>Hypergrowth (VC-funded)</t>
        </is>
      </c>
      <c r="B27" s="28" t="n">
        <v>52480</v>
      </c>
      <c r="C27" s="28" t="n">
        <v>786561</v>
      </c>
      <c r="D27" s="28" t="n">
        <v>9569343</v>
      </c>
      <c r="E27" s="37" t="inlineStr">
        <is>
          <t>Month 10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6666"/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50" customWidth="1" min="1" max="1"/>
    <col width="55" customWidth="1" min="2" max="2"/>
  </cols>
  <sheetData>
    <row r="1">
      <c r="A1" s="1" t="inlineStr">
        <is>
          <t>SOURCES &amp; METHODOLOGY</t>
        </is>
      </c>
    </row>
    <row r="3">
      <c r="A3" s="3" t="inlineStr">
        <is>
          <t>Market Data</t>
        </is>
      </c>
    </row>
    <row r="4">
      <c r="A4" s="4" t="inlineStr">
        <is>
          <t xml:space="preserve">  TAM: $32B+ Fantasy Sports (2025)</t>
        </is>
      </c>
      <c r="B4" s="7" t="inlineStr">
        <is>
          <t>Citrus Pitch Deck — Web Summit Vancouver 2026</t>
        </is>
      </c>
    </row>
    <row r="5">
      <c r="A5" s="4" t="inlineStr">
        <is>
          <t xml:space="preserve">  SAM: $1-2B Fantasy Hockey global</t>
        </is>
      </c>
      <c r="B5" s="7" t="inlineStr">
        <is>
          <t>Citrus Pitch Deck</t>
        </is>
      </c>
    </row>
    <row r="6">
      <c r="A6" s="4" t="inlineStr">
        <is>
          <t xml:space="preserve">  5.8M active fantasy hockey players (NA)</t>
        </is>
      </c>
      <c r="B6" s="7" t="inlineStr">
        <is>
          <t>Citrus Pitch Deck (end of 2024 est.)</t>
        </is>
      </c>
    </row>
    <row r="7">
      <c r="A7" s="4" t="inlineStr">
        <is>
          <t xml:space="preserve">  NHL CAGR: 14.6%</t>
        </is>
      </c>
      <c r="B7" s="7" t="inlineStr">
        <is>
          <t>Citrus Pitch Deck — fastest growing Big 4</t>
        </is>
      </c>
    </row>
    <row r="8">
      <c r="A8" s="4" t="inlineStr">
        <is>
          <t xml:space="preserve">  Fantasy Market CAGR: 10.45%</t>
        </is>
      </c>
      <c r="B8" s="7" t="inlineStr">
        <is>
          <t>Industry reports (2025-2035)</t>
        </is>
      </c>
    </row>
    <row r="10">
      <c r="A10" s="3" t="inlineStr">
        <is>
          <t>Churn &amp; Retention Benchmarks</t>
        </is>
      </c>
    </row>
    <row r="11">
      <c r="A11" s="4" t="inlineStr">
        <is>
          <t xml:space="preserve">  Mobile subscription avg churn: 9%/mo</t>
        </is>
      </c>
      <c r="B11" s="7" t="inlineStr">
        <is>
          <t>MarketingLTB Subscription Statistics 2025</t>
        </is>
      </c>
    </row>
    <row r="12">
      <c r="A12" s="4" t="inlineStr">
        <is>
          <t xml:space="preserve">  Top-performing sub churn: &lt;3%/mo</t>
        </is>
      </c>
      <c r="B12" s="7" t="inlineStr">
        <is>
          <t>FocusDigital Avg Churn Rate Report</t>
        </is>
      </c>
    </row>
    <row r="13">
      <c r="A13" s="4" t="inlineStr">
        <is>
          <t xml:space="preserve">  46% cancel in first billing cycle</t>
        </is>
      </c>
      <c r="B13" s="7" t="inlineStr">
        <is>
          <t>App store subscription data</t>
        </is>
      </c>
    </row>
    <row r="14">
      <c r="A14" s="4" t="inlineStr">
        <is>
          <t xml:space="preserve">  Sleeper annual retention: 75%</t>
        </is>
      </c>
      <c r="B14" s="7" t="inlineStr">
        <is>
          <t>Sleeper Series C press release (2021)</t>
        </is>
      </c>
    </row>
    <row r="15">
      <c r="A15" s="4" t="inlineStr">
        <is>
          <t xml:space="preserve">  Our base case: 4% in-season, 12% off</t>
        </is>
      </c>
      <c r="B15" s="7" t="inlineStr">
        <is>
          <t>Conservative vs mobile avg, accounts for seasonality</t>
        </is>
      </c>
    </row>
    <row r="17">
      <c r="A17" s="3" t="inlineStr">
        <is>
          <t>Conversion Rate Benchmarks</t>
        </is>
      </c>
    </row>
    <row r="18">
      <c r="A18" s="4" t="inlineStr">
        <is>
          <t xml:space="preserve">  Freemium self-serve: 3-5% good, 6-8% great</t>
        </is>
      </c>
      <c r="B18" s="7" t="inlineStr">
        <is>
          <t>OpenView Partners / Lenny's Newsletter</t>
        </is>
      </c>
    </row>
    <row r="19">
      <c r="A19" s="4" t="inlineStr">
        <is>
          <t xml:space="preserve">  Mobile freemium median: 2.18%</t>
        </is>
      </c>
      <c r="B19" s="7" t="inlineStr">
        <is>
          <t>RevenueCat State of Subscription Apps 2025</t>
        </is>
      </c>
    </row>
    <row r="20">
      <c r="A20" s="4" t="inlineStr">
        <is>
          <t xml:space="preserve">  Health &amp; Fitness (comparable): 3-5%</t>
        </is>
      </c>
      <c r="B20" s="7" t="inlineStr">
        <is>
          <t>RevenueCat category benchmarks</t>
        </is>
      </c>
    </row>
    <row r="21">
      <c r="A21" s="4" t="inlineStr">
        <is>
          <t xml:space="preserve">  Our base case: 3.5% Y1, 5.5% Y2</t>
        </is>
      </c>
      <c r="B21" s="7" t="inlineStr">
        <is>
          <t>Conservative Y1, improving with product maturity</t>
        </is>
      </c>
    </row>
    <row r="23">
      <c r="A23" s="3" t="inlineStr">
        <is>
          <t>Competitive Intelligence</t>
        </is>
      </c>
    </row>
    <row r="24">
      <c r="A24" s="4" t="inlineStr">
        <is>
          <t xml:space="preserve">  Sleeper: 3M+ users, &lt;$10M rev (2023)</t>
        </is>
      </c>
      <c r="B24" s="7" t="inlineStr">
        <is>
          <t>Crunchbase, PR Newswire</t>
        </is>
      </c>
    </row>
    <row r="25">
      <c r="A25" s="4" t="inlineStr">
        <is>
          <t xml:space="preserve">  Sleeper: $40M Series C (2021, a16z)</t>
        </is>
      </c>
      <c r="B25" s="7" t="inlineStr">
        <is>
          <t>PR Newswire</t>
        </is>
      </c>
    </row>
    <row r="26">
      <c r="A26" s="4" t="inlineStr">
        <is>
          <t xml:space="preserve">  ESPN Fantasy: 13M players (2024)</t>
        </is>
      </c>
      <c r="B26" s="7" t="inlineStr">
        <is>
          <t>Industry reports</t>
        </is>
      </c>
    </row>
    <row r="27">
      <c r="A27" s="4" t="inlineStr">
        <is>
          <t xml:space="preserve">  DraftKings/FanDuel: 12% avg rake</t>
        </is>
      </c>
      <c r="B27" s="7" t="inlineStr">
        <is>
          <t>Public filings</t>
        </is>
      </c>
    </row>
    <row r="29">
      <c r="A29" s="3" t="inlineStr">
        <is>
          <t>Conference Costs</t>
        </is>
      </c>
    </row>
    <row r="30">
      <c r="A30" s="4" t="inlineStr">
        <is>
          <t xml:space="preserve">  FSGA membership: $500/yr + $250 admin</t>
        </is>
      </c>
      <c r="B30" s="7" t="inlineStr">
        <is>
          <t>thefsga.org/membership</t>
        </is>
      </c>
    </row>
    <row r="31">
      <c r="A31" s="4" t="inlineStr">
        <is>
          <t xml:space="preserve">  FSGA conferences: Winter (Vegas), Summer</t>
        </is>
      </c>
      <c r="B31" s="7" t="inlineStr">
        <is>
          <t>fstaconference.com</t>
        </is>
      </c>
    </row>
    <row r="32">
      <c r="A32" s="4" t="inlineStr">
        <is>
          <t xml:space="preserve">  MIT Sloan SSAC: 2,500+ attendees</t>
        </is>
      </c>
      <c r="B32" s="7" t="inlineStr">
        <is>
          <t>sloansportsconference.com</t>
        </is>
      </c>
    </row>
    <row r="33">
      <c r="A33" s="4" t="inlineStr">
        <is>
          <t xml:space="preserve">  Conference budget: $3-8K each</t>
        </is>
      </c>
      <c r="B33" s="7" t="inlineStr">
        <is>
          <t>Travel + hotel + booth + meals estimates</t>
        </is>
      </c>
    </row>
    <row r="35">
      <c r="A35" s="3" t="inlineStr">
        <is>
          <t>Methodology Notes</t>
        </is>
      </c>
    </row>
    <row r="36">
      <c r="A36" s="4" t="inlineStr">
        <is>
          <t xml:space="preserve">  All yellow cells on Assumptions tab are editable</t>
        </is>
      </c>
      <c r="B36" s="7" t="inlineStr">
        <is>
          <t>Change inputs to see model update</t>
        </is>
      </c>
    </row>
    <row r="37">
      <c r="A37" s="4" t="inlineStr">
        <is>
          <t xml:space="preserve">  Seasonal multipliers model NHL calendar</t>
        </is>
      </c>
      <c r="B37" s="7" t="inlineStr">
        <is>
          <t>Oct-Apr = in-season, May-Sep = off-season</t>
        </is>
      </c>
    </row>
    <row r="38">
      <c r="A38" s="4" t="inlineStr">
        <is>
          <t xml:space="preserve">  Churn varies by tier and season</t>
        </is>
      </c>
      <c r="B38" s="7" t="inlineStr">
        <is>
          <t>Commissioners churn least, free users most</t>
        </is>
      </c>
    </row>
    <row r="39">
      <c r="A39" s="4" t="inlineStr">
        <is>
          <t xml:space="preserve">  DFS launches Oct 2027 (Month 19)</t>
        </is>
      </c>
      <c r="B39" s="7" t="inlineStr">
        <is>
          <t>Per Pitch Deck growth roadmap</t>
        </is>
      </c>
    </row>
    <row r="40">
      <c r="A40" s="4" t="inlineStr">
        <is>
          <t xml:space="preserve">  App Store takes 15% (small business program)</t>
        </is>
      </c>
      <c r="B40" s="7" t="inlineStr">
        <is>
          <t>Apple/Google small business commission rate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2026-03-18T13:37:52Z</dcterms:created>
  <dcterms:modified xsi:type="dcterms:W3CDTF">2026-03-18T13:37:52Z</dcterms:modified>
</cp:coreProperties>
</file>