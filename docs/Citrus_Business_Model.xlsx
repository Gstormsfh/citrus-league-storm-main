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GS &amp; Operating Expenses" sheetId="4" state="visible" r:id="rId4"/>
    <sheet name="Unit Economics" sheetId="5" state="visible" r:id="rId5"/>
    <sheet name="Cash Flow &amp; Runway" sheetId="6" state="visible" r:id="rId6"/>
    <sheet name="Annual Summary" sheetId="7" state="visible" r:id="rId7"/>
    <sheet name="Sensitivity Analysis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0.0000"/>
    <numFmt numFmtId="167" formatCode="0.0"/>
    <numFmt numFmtId="168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6741"/>
      <sz val="11"/>
    </font>
    <font>
      <sz val="10"/>
    </font>
    <font>
      <b val="1"/>
      <color rgb="00D4702A"/>
    </font>
    <font>
      <i val="1"/>
      <color rgb="004A6741"/>
    </font>
    <font>
      <b val="1"/>
      <sz val="10"/>
    </font>
    <font>
      <sz val="9"/>
    </font>
    <font>
      <b val="1"/>
      <color rgb="004A674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A6741"/>
      </patternFill>
    </fill>
    <fill>
      <patternFill patternType="solid">
        <fgColor rgb="00FFF9E6"/>
      </patternFill>
    </fill>
    <fill>
      <patternFill patternType="solid">
        <fgColor rgb="00FFE8CC"/>
      </patternFill>
    </fill>
    <fill>
      <patternFill patternType="solid">
        <fgColor rgb="00D4E8B8"/>
      </patternFill>
    </fill>
    <fill>
      <patternFill patternType="solid">
        <fgColor rgb="00F5F0E8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4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6" fillId="6" borderId="1" pivotButton="0" quotePrefix="0" xfId="0"/>
    <xf numFmtId="3" fontId="0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3" fontId="4" fillId="3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8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8" fontId="4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CC0000"/>
      </font>
    </dxf>
    <dxf>
      <font>
        <color rgb="004A67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2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65" customWidth="1" min="4" max="4"/>
  </cols>
  <sheetData>
    <row r="1">
      <c r="A1" s="1" t="inlineStr">
        <is>
          <t>Assumption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Citation</t>
        </is>
      </c>
    </row>
    <row r="2">
      <c r="A2" s="2" t="inlineStr">
        <is>
          <t>PRICING</t>
        </is>
      </c>
    </row>
    <row r="3">
      <c r="A3" s="3" t="inlineStr">
        <is>
          <t>Pro Tier — Monthly</t>
        </is>
      </c>
      <c r="B3" s="4" t="n">
        <v>4.99</v>
      </c>
      <c r="C3" s="5" t="inlineStr">
        <is>
          <t>USD/mo</t>
        </is>
      </c>
      <c r="D3" t="inlineStr"/>
    </row>
    <row r="4">
      <c r="A4" s="3" t="inlineStr">
        <is>
          <t>Commissioner Tier — Monthly</t>
        </is>
      </c>
      <c r="B4" s="4" t="n">
        <v>9.99</v>
      </c>
      <c r="C4" s="5" t="inlineStr">
        <is>
          <t>USD/mo</t>
        </is>
      </c>
      <c r="D4" t="inlineStr"/>
    </row>
    <row r="5">
      <c r="A5" s="3" t="inlineStr">
        <is>
          <t>Annual Billing Discount</t>
        </is>
      </c>
      <c r="B5" s="6" t="n">
        <v>0.2</v>
      </c>
      <c r="C5" s="5" t="inlineStr">
        <is>
          <t>%</t>
        </is>
      </c>
      <c r="D5" t="inlineStr">
        <is>
          <t>Industry standard</t>
        </is>
      </c>
    </row>
    <row r="6">
      <c r="A6" s="3" t="inlineStr">
        <is>
          <t>Annual Billing %</t>
        </is>
      </c>
      <c r="B6" s="6" t="n">
        <v>0.3</v>
      </c>
      <c r="C6" s="5" t="inlineStr">
        <is>
          <t>%</t>
        </is>
      </c>
      <c r="D6" t="inlineStr">
        <is>
          <t>Industry benchmarks</t>
        </is>
      </c>
    </row>
    <row r="7">
      <c r="A7" s="3" t="inlineStr">
        <is>
          <t>Monthly Billing %</t>
        </is>
      </c>
      <c r="B7" s="6" t="n">
        <v>0.7</v>
      </c>
      <c r="C7" s="5" t="inlineStr">
        <is>
          <t>%</t>
        </is>
      </c>
      <c r="D7" t="inlineStr"/>
    </row>
    <row r="8">
      <c r="A8" t="inlineStr"/>
    </row>
    <row r="9">
      <c r="A9" s="2" t="inlineStr">
        <is>
          <t>CONVERSION RATES</t>
        </is>
      </c>
    </row>
    <row r="10">
      <c r="A10" s="3" t="inlineStr">
        <is>
          <t>Free → Pro Y1</t>
        </is>
      </c>
      <c r="B10" s="6" t="n">
        <v>0.035</v>
      </c>
      <c r="C10" s="5" t="inlineStr">
        <is>
          <t>%</t>
        </is>
      </c>
      <c r="D10" t="inlineStr">
        <is>
          <t>OpenView/Lenny's Newsletter</t>
        </is>
      </c>
    </row>
    <row r="11">
      <c r="A11" s="3" t="inlineStr">
        <is>
          <t>Free → Pro Y2</t>
        </is>
      </c>
      <c r="B11" s="6" t="n">
        <v>0.055</v>
      </c>
      <c r="C11" s="5" t="inlineStr">
        <is>
          <t>%</t>
        </is>
      </c>
      <c r="D11" t="inlineStr">
        <is>
          <t>Product maturation + mobile</t>
        </is>
      </c>
    </row>
    <row r="12">
      <c r="A12" s="3" t="inlineStr">
        <is>
          <t>Free → Commissioner Y1</t>
        </is>
      </c>
      <c r="B12" s="6" t="n">
        <v>0.008</v>
      </c>
      <c r="C12" s="5" t="inlineStr">
        <is>
          <t>%</t>
        </is>
      </c>
      <c r="D12" t="inlineStr">
        <is>
          <t>Power-user tier</t>
        </is>
      </c>
    </row>
    <row r="13">
      <c r="A13" s="3" t="inlineStr">
        <is>
          <t>Free → Commissioner Y2</t>
        </is>
      </c>
      <c r="B13" s="6" t="n">
        <v>0.015</v>
      </c>
      <c r="C13" s="5" t="inlineStr">
        <is>
          <t>%</t>
        </is>
      </c>
      <c r="D13" t="inlineStr"/>
    </row>
    <row r="14">
      <c r="A14" s="3" t="inlineStr">
        <is>
          <t>In-Season Multiplier</t>
        </is>
      </c>
      <c r="B14" s="7" t="n">
        <v>1.8</v>
      </c>
      <c r="C14" s="5" t="inlineStr">
        <is>
          <t>x</t>
        </is>
      </c>
      <c r="D14" t="inlineStr">
        <is>
          <t>NHL engagement seasonality</t>
        </is>
      </c>
    </row>
    <row r="15">
      <c r="A15" s="3" t="inlineStr">
        <is>
          <t>Off-Season Multiplier</t>
        </is>
      </c>
      <c r="B15" s="7" t="n">
        <v>0.4</v>
      </c>
      <c r="C15" s="5" t="inlineStr">
        <is>
          <t>x</t>
        </is>
      </c>
      <c r="D15" t="inlineStr"/>
    </row>
    <row r="16">
      <c r="A16" t="inlineStr"/>
    </row>
    <row r="17">
      <c r="A17" t="inlineStr">
        <is>
          <t>CHURN RATES (Monthly)</t>
        </is>
      </c>
    </row>
    <row r="18">
      <c r="A18" s="3" t="inlineStr">
        <is>
          <t>Pro In-Season</t>
        </is>
      </c>
      <c r="B18" s="6" t="n">
        <v>0.04</v>
      </c>
      <c r="C18" s="5" t="inlineStr">
        <is>
          <t>%</t>
        </is>
      </c>
      <c r="D18" t="inlineStr">
        <is>
          <t>Below mobile avg 9%</t>
        </is>
      </c>
    </row>
    <row r="19">
      <c r="A19" s="3" t="inlineStr">
        <is>
          <t>Pro Off-Season</t>
        </is>
      </c>
      <c r="B19" s="6" t="n">
        <v>0.12</v>
      </c>
      <c r="C19" s="5" t="inlineStr">
        <is>
          <t>%</t>
        </is>
      </c>
      <c r="D19" t="inlineStr">
        <is>
          <t>Seasonal disengagement</t>
        </is>
      </c>
    </row>
    <row r="20">
      <c r="A20" s="3" t="inlineStr">
        <is>
          <t>Commissioner In-Season</t>
        </is>
      </c>
      <c r="B20" s="6" t="n">
        <v>0.025</v>
      </c>
      <c r="C20" s="5" t="inlineStr">
        <is>
          <t>%</t>
        </is>
      </c>
      <c r="D20" t="inlineStr">
        <is>
          <t>Stickier — league mgmt</t>
        </is>
      </c>
    </row>
    <row r="21">
      <c r="A21" s="3" t="inlineStr">
        <is>
          <t>Commissioner Off-Season</t>
        </is>
      </c>
      <c r="B21" s="6" t="n">
        <v>0.08</v>
      </c>
      <c r="C21" s="5" t="inlineStr">
        <is>
          <t>%</t>
        </is>
      </c>
      <c r="D21" t="inlineStr"/>
    </row>
    <row r="22">
      <c r="A22" s="3" t="inlineStr">
        <is>
          <t>Free In-Season</t>
        </is>
      </c>
      <c r="B22" s="6" t="n">
        <v>0.06</v>
      </c>
      <c r="C22" s="5" t="inlineStr">
        <is>
          <t>%</t>
        </is>
      </c>
      <c r="D22" t="inlineStr"/>
    </row>
    <row r="23">
      <c r="A23" s="3" t="inlineStr">
        <is>
          <t>Free Off-Season</t>
        </is>
      </c>
      <c r="B23" s="6" t="n">
        <v>0.15</v>
      </c>
      <c r="C23" s="5" t="inlineStr">
        <is>
          <t>%</t>
        </is>
      </c>
      <c r="D23" t="inlineStr"/>
    </row>
    <row r="24">
      <c r="A24" t="inlineStr"/>
    </row>
    <row r="25">
      <c r="A25" s="2" t="inlineStr">
        <is>
          <t>PAY-PER-USE</t>
        </is>
      </c>
    </row>
    <row r="26">
      <c r="A26" s="3" t="inlineStr">
        <is>
          <t>Stormy AI Query Pack Price</t>
        </is>
      </c>
      <c r="B26" s="4" t="n">
        <v>1.99</v>
      </c>
      <c r="C26" s="5" t="inlineStr">
        <is>
          <t>USD</t>
        </is>
      </c>
      <c r="D26" t="inlineStr">
        <is>
          <t>Per 50-query pack</t>
        </is>
      </c>
    </row>
    <row r="27">
      <c r="A27" s="3" t="inlineStr">
        <is>
          <t>AI Pack Attach — Free Users</t>
        </is>
      </c>
      <c r="B27" s="6" t="n">
        <v>0.02</v>
      </c>
      <c r="C27" s="5" t="inlineStr">
        <is>
          <t>%/mo</t>
        </is>
      </c>
      <c r="D27" t="inlineStr"/>
    </row>
    <row r="28">
      <c r="A28" s="3" t="inlineStr">
        <is>
          <t>AI Pack Attach — Pro Users</t>
        </is>
      </c>
      <c r="B28" s="6" t="n">
        <v>0.1</v>
      </c>
      <c r="C28" s="5" t="inlineStr">
        <is>
          <t>%/mo</t>
        </is>
      </c>
      <c r="D28" t="inlineStr"/>
    </row>
    <row r="29">
      <c r="A29" s="3" t="inlineStr">
        <is>
          <t>Draft Kit Price</t>
        </is>
      </c>
      <c r="B29" s="4" t="n">
        <v>4.99</v>
      </c>
      <c r="C29" s="5" t="inlineStr">
        <is>
          <t>USD</t>
        </is>
      </c>
      <c r="D29" t="inlineStr">
        <is>
          <t>One-time per season</t>
        </is>
      </c>
    </row>
    <row r="30">
      <c r="A30" s="3" t="inlineStr">
        <is>
          <t>Draft Kit Attach Rate</t>
        </is>
      </c>
      <c r="B30" s="6" t="n">
        <v>0.08</v>
      </c>
      <c r="C30" s="5" t="inlineStr">
        <is>
          <t>%</t>
        </is>
      </c>
      <c r="D30" t="inlineStr">
        <is>
          <t>All users in draft months</t>
        </is>
      </c>
    </row>
    <row r="31">
      <c r="A31" t="inlineStr"/>
    </row>
    <row r="32">
      <c r="A32" s="2" t="inlineStr">
        <is>
          <t>DFS</t>
        </is>
      </c>
    </row>
    <row r="33">
      <c r="A33" s="3" t="inlineStr">
        <is>
          <t>DFS Rake</t>
        </is>
      </c>
      <c r="B33" s="6" t="n">
        <v>0.12</v>
      </c>
      <c r="C33" s="5" t="inlineStr">
        <is>
          <t>%</t>
        </is>
      </c>
      <c r="D33" t="inlineStr">
        <is>
          <t>DK/FD range 10-16%</t>
        </is>
      </c>
    </row>
    <row r="34">
      <c r="A34" s="3" t="inlineStr">
        <is>
          <t>Average Entry Fee</t>
        </is>
      </c>
      <c r="B34" s="4" t="n">
        <v>5</v>
      </c>
      <c r="C34" s="5" t="inlineStr">
        <is>
          <t>USD</t>
        </is>
      </c>
      <c r="D34" t="inlineStr"/>
    </row>
    <row r="35">
      <c r="A35" s="3" t="inlineStr">
        <is>
          <t>Participation Rate</t>
        </is>
      </c>
      <c r="B35" s="6" t="n">
        <v>0.1</v>
      </c>
      <c r="C35" s="5" t="inlineStr">
        <is>
          <t>%</t>
        </is>
      </c>
      <c r="D35" t="inlineStr">
        <is>
          <t>Of total users</t>
        </is>
      </c>
    </row>
    <row r="36">
      <c r="A36" s="3" t="inlineStr">
        <is>
          <t>Entries per User per Month</t>
        </is>
      </c>
      <c r="B36" s="8" t="n">
        <v>5</v>
      </c>
      <c r="C36" s="5" t="inlineStr">
        <is>
          <t>#</t>
        </is>
      </c>
      <c r="D36" t="inlineStr"/>
    </row>
    <row r="37">
      <c r="A37" s="3" t="inlineStr">
        <is>
          <t>DFS Launch Month Index</t>
        </is>
      </c>
      <c r="B37" s="8" t="n">
        <v>18</v>
      </c>
      <c r="C37" s="5" t="inlineStr">
        <is>
          <t>0-based</t>
        </is>
      </c>
      <c r="D37" t="inlineStr">
        <is>
          <t>Oct 2027</t>
        </is>
      </c>
    </row>
    <row r="38">
      <c r="A38" t="inlineStr"/>
    </row>
    <row r="39">
      <c r="A39" s="2" t="inlineStr">
        <is>
          <t>ADVERTISING</t>
        </is>
      </c>
    </row>
    <row r="40">
      <c r="A40" s="3" t="inlineStr">
        <is>
          <t>Blended eCPM</t>
        </is>
      </c>
      <c r="B40" s="4" t="n">
        <v>6</v>
      </c>
      <c r="C40" s="5" t="inlineStr">
        <is>
          <t>USD</t>
        </is>
      </c>
      <c r="D40" t="inlineStr">
        <is>
          <t>BusinessOfApps/Appodeal</t>
        </is>
      </c>
    </row>
    <row r="41">
      <c r="A41" s="3" t="inlineStr">
        <is>
          <t>Pageviews/Free User In-Season</t>
        </is>
      </c>
      <c r="B41" s="8" t="n">
        <v>100</v>
      </c>
      <c r="C41" s="5" t="inlineStr">
        <is>
          <t>#/mo</t>
        </is>
      </c>
      <c r="D41" t="inlineStr"/>
    </row>
    <row r="42">
      <c r="A42" s="3" t="inlineStr">
        <is>
          <t>Pageviews/Free User Off-Season</t>
        </is>
      </c>
      <c r="B42" s="8" t="n">
        <v>50</v>
      </c>
      <c r="C42" s="5" t="inlineStr">
        <is>
          <t>#/mo</t>
        </is>
      </c>
      <c r="D42" t="inlineStr"/>
    </row>
    <row r="43">
      <c r="A43" s="3" t="inlineStr">
        <is>
          <t>Ad-Eligible %</t>
        </is>
      </c>
      <c r="B43" s="6" t="n">
        <v>0.8</v>
      </c>
      <c r="C43" s="5" t="inlineStr">
        <is>
          <t>%</t>
        </is>
      </c>
      <c r="D43" t="inlineStr">
        <is>
          <t>Excluding ad-blockers</t>
        </is>
      </c>
    </row>
    <row r="44">
      <c r="A44" t="inlineStr"/>
    </row>
    <row r="45">
      <c r="A45" s="2" t="inlineStr">
        <is>
          <t>INFRASTRUCTURE</t>
        </is>
      </c>
    </row>
    <row r="46">
      <c r="A46" s="3" t="inlineStr">
        <is>
          <t>Supabase Pro</t>
        </is>
      </c>
      <c r="B46" s="8" t="n">
        <v>25</v>
      </c>
      <c r="C46" s="5" t="inlineStr">
        <is>
          <t>USD/mo</t>
        </is>
      </c>
      <c r="D46" t="inlineStr">
        <is>
          <t>supabase.com/pricing</t>
        </is>
      </c>
    </row>
    <row r="47">
      <c r="A47" s="3" t="inlineStr">
        <is>
          <t>Supabase Team (&gt;threshold)</t>
        </is>
      </c>
      <c r="B47" s="8" t="n">
        <v>599</v>
      </c>
      <c r="C47" s="5" t="inlineStr">
        <is>
          <t>USD/mo</t>
        </is>
      </c>
      <c r="D47" t="inlineStr">
        <is>
          <t>supabase.com/pricing</t>
        </is>
      </c>
    </row>
    <row r="48">
      <c r="A48" s="3" t="inlineStr">
        <is>
          <t>Supabase User Threshold</t>
        </is>
      </c>
      <c r="B48" s="8" t="n">
        <v>50000</v>
      </c>
      <c r="C48" s="5" t="inlineStr">
        <is>
          <t>users</t>
        </is>
      </c>
      <c r="D48" t="inlineStr"/>
    </row>
    <row r="49">
      <c r="A49" s="3" t="inlineStr">
        <is>
          <t>Firebase Base Cost</t>
        </is>
      </c>
      <c r="B49" s="8" t="n">
        <v>5</v>
      </c>
      <c r="C49" s="5" t="inlineStr">
        <is>
          <t>USD/mo</t>
        </is>
      </c>
      <c r="D49" t="inlineStr">
        <is>
          <t>firebase.google.com</t>
        </is>
      </c>
    </row>
    <row r="50">
      <c r="A50" s="3" t="inlineStr">
        <is>
          <t>Firebase Scaling per User</t>
        </is>
      </c>
      <c r="B50" s="9" t="n">
        <v>0.001</v>
      </c>
      <c r="C50" s="5" t="inlineStr">
        <is>
          <t>USD/user</t>
        </is>
      </c>
      <c r="D50" t="inlineStr">
        <is>
          <t>Rough estimate</t>
        </is>
      </c>
    </row>
    <row r="51">
      <c r="A51" s="3" t="inlineStr">
        <is>
          <t>Claude API Cost per Query</t>
        </is>
      </c>
      <c r="B51" s="9" t="n">
        <v>0.008</v>
      </c>
      <c r="C51" s="5" t="inlineStr">
        <is>
          <t>USD</t>
        </is>
      </c>
      <c r="D51" t="inlineStr">
        <is>
          <t>Sonnet + prompt caching</t>
        </is>
      </c>
    </row>
    <row r="52">
      <c r="A52" s="3" t="inlineStr">
        <is>
          <t>Claude Queries — Pro Users</t>
        </is>
      </c>
      <c r="B52" s="8" t="n">
        <v>8</v>
      </c>
      <c r="C52" s="5" t="inlineStr">
        <is>
          <t>#/mo</t>
        </is>
      </c>
      <c r="D52" t="inlineStr"/>
    </row>
    <row r="53">
      <c r="A53" s="3" t="inlineStr">
        <is>
          <t>Claude Queries — Commissioner</t>
        </is>
      </c>
      <c r="B53" s="8" t="n">
        <v>20</v>
      </c>
      <c r="C53" s="5" t="inlineStr">
        <is>
          <t>#/mo</t>
        </is>
      </c>
      <c r="D53" t="inlineStr"/>
    </row>
    <row r="54">
      <c r="A54" s="3" t="inlineStr">
        <is>
          <t>Proxy Rotation</t>
        </is>
      </c>
      <c r="B54" s="8" t="n">
        <v>100</v>
      </c>
      <c r="C54" s="5" t="inlineStr">
        <is>
          <t>USD/mo</t>
        </is>
      </c>
      <c r="D54" t="inlineStr"/>
    </row>
    <row r="55">
      <c r="A55" s="3" t="inlineStr">
        <is>
          <t>Domain / SSL / Misc</t>
        </is>
      </c>
      <c r="B55" s="8" t="n">
        <v>20</v>
      </c>
      <c r="C55" s="5" t="inlineStr">
        <is>
          <t>USD/mo</t>
        </is>
      </c>
      <c r="D55" t="inlineStr"/>
    </row>
    <row r="56">
      <c r="A56" t="inlineStr"/>
    </row>
    <row r="57">
      <c r="A57" s="2" t="inlineStr">
        <is>
          <t>PLATFORM FEES</t>
        </is>
      </c>
    </row>
    <row r="58">
      <c r="A58" s="3" t="inlineStr">
        <is>
          <t>Apple App Store Commission</t>
        </is>
      </c>
      <c r="B58" s="6" t="n">
        <v>0.15</v>
      </c>
      <c r="C58" s="5" t="inlineStr">
        <is>
          <t>%</t>
        </is>
      </c>
      <c r="D58" t="inlineStr">
        <is>
          <t>Small Business Program</t>
        </is>
      </c>
    </row>
    <row r="59">
      <c r="A59" s="3" t="inlineStr">
        <is>
          <t>Google Play Commission</t>
        </is>
      </c>
      <c r="B59" s="6" t="n">
        <v>0.15</v>
      </c>
      <c r="C59" s="5" t="inlineStr">
        <is>
          <t>%</t>
        </is>
      </c>
      <c r="D59" t="inlineStr">
        <is>
          <t>Reduced service fee</t>
        </is>
      </c>
    </row>
    <row r="60">
      <c r="A60" s="3" t="inlineStr">
        <is>
          <t>Stripe Processing %</t>
        </is>
      </c>
      <c r="B60" s="10" t="n">
        <v>0.029</v>
      </c>
      <c r="C60" s="5" t="inlineStr">
        <is>
          <t>%</t>
        </is>
      </c>
      <c r="D60" t="inlineStr">
        <is>
          <t>stripe.com/pricing</t>
        </is>
      </c>
    </row>
    <row r="61">
      <c r="A61" s="3" t="inlineStr">
        <is>
          <t>Stripe Flat Fee</t>
        </is>
      </c>
      <c r="B61" s="4" t="n">
        <v>0.3</v>
      </c>
      <c r="C61" s="5" t="inlineStr">
        <is>
          <t>USD/txn</t>
        </is>
      </c>
      <c r="D61" t="inlineStr"/>
    </row>
    <row r="62">
      <c r="A62" s="3" t="inlineStr">
        <is>
          <t>Mobile Revenue — iOS %</t>
        </is>
      </c>
      <c r="B62" s="6" t="n">
        <v>0.6</v>
      </c>
      <c r="C62" s="5" t="inlineStr">
        <is>
          <t>%</t>
        </is>
      </c>
      <c r="D62" t="inlineStr"/>
    </row>
    <row r="63">
      <c r="A63" s="3" t="inlineStr">
        <is>
          <t>Mobile Revenue — Android %</t>
        </is>
      </c>
      <c r="B63" s="6" t="n">
        <v>0.4</v>
      </c>
      <c r="C63" s="5" t="inlineStr">
        <is>
          <t>%</t>
        </is>
      </c>
      <c r="D63" t="inlineStr"/>
    </row>
    <row r="64">
      <c r="A64" s="3" t="inlineStr">
        <is>
          <t>Mobile vs Web — Mobile %</t>
        </is>
      </c>
      <c r="B64" s="6" t="n">
        <v>0.7</v>
      </c>
      <c r="C64" s="5" t="inlineStr">
        <is>
          <t>%</t>
        </is>
      </c>
      <c r="D64" t="inlineStr"/>
    </row>
    <row r="65">
      <c r="A65" s="3" t="inlineStr">
        <is>
          <t>Apple Developer Annual</t>
        </is>
      </c>
      <c r="B65" s="8" t="n">
        <v>99</v>
      </c>
      <c r="C65" s="5" t="inlineStr">
        <is>
          <t>USD/yr</t>
        </is>
      </c>
      <c r="D65" t="inlineStr"/>
    </row>
    <row r="66">
      <c r="A66" s="3" t="inlineStr">
        <is>
          <t>Google Play Registration</t>
        </is>
      </c>
      <c r="B66" s="8" t="n">
        <v>25</v>
      </c>
      <c r="C66" s="5" t="inlineStr">
        <is>
          <t>USD</t>
        </is>
      </c>
      <c r="D66" t="inlineStr">
        <is>
          <t>One-time</t>
        </is>
      </c>
    </row>
    <row r="67">
      <c r="A67" t="inlineStr"/>
    </row>
    <row r="68">
      <c r="A68" s="2" t="inlineStr">
        <is>
          <t>MARKETING</t>
        </is>
      </c>
    </row>
    <row r="69">
      <c r="A69" s="3" t="inlineStr">
        <is>
          <t>Marketing Launch Month</t>
        </is>
      </c>
      <c r="B69" s="8" t="n">
        <v>2</v>
      </c>
      <c r="C69" s="5" t="inlineStr">
        <is>
          <t>0-based</t>
        </is>
      </c>
      <c r="D69" t="inlineStr">
        <is>
          <t>Mid-June 2026 app launch</t>
        </is>
      </c>
    </row>
    <row r="70">
      <c r="A70" s="3" t="inlineStr">
        <is>
          <t>Blended CAC Target</t>
        </is>
      </c>
      <c r="B70" s="4" t="n">
        <v>2.5</v>
      </c>
      <c r="C70" s="5" t="inlineStr">
        <is>
          <t>USD</t>
        </is>
      </c>
      <c r="D70" t="inlineStr">
        <is>
          <t>Organic/community-driven</t>
        </is>
      </c>
    </row>
    <row r="71">
      <c r="A71" s="3" t="inlineStr">
        <is>
          <t>Content Marketing Y1</t>
        </is>
      </c>
      <c r="B71" s="8" t="n">
        <v>150</v>
      </c>
      <c r="C71" s="5" t="inlineStr">
        <is>
          <t>USD/mo</t>
        </is>
      </c>
      <c r="D71" t="inlineStr">
        <is>
          <t>Post-launch only</t>
        </is>
      </c>
    </row>
    <row r="72">
      <c r="A72" s="3" t="inlineStr">
        <is>
          <t>Content Marketing Y2</t>
        </is>
      </c>
      <c r="B72" s="8" t="n">
        <v>500</v>
      </c>
      <c r="C72" s="5" t="inlineStr">
        <is>
          <t>USD/mo</t>
        </is>
      </c>
      <c r="D72" t="inlineStr"/>
    </row>
    <row r="73">
      <c r="A73" t="inlineStr"/>
    </row>
    <row r="74">
      <c r="A74" s="2" t="inlineStr">
        <is>
          <t>TEAM</t>
        </is>
      </c>
    </row>
    <row r="75">
      <c r="A75" s="3" t="inlineStr">
        <is>
          <t>Months 1-6 (Solo Founder)</t>
        </is>
      </c>
      <c r="B75" s="8" t="n">
        <v>0</v>
      </c>
      <c r="C75" s="5" t="inlineStr">
        <is>
          <t>USD/mo</t>
        </is>
      </c>
      <c r="D75" t="inlineStr">
        <is>
          <t>Bootstrapped</t>
        </is>
      </c>
    </row>
    <row r="76">
      <c r="A76" s="3" t="inlineStr">
        <is>
          <t>Months 7-12 (1 PT Contractor)</t>
        </is>
      </c>
      <c r="B76" s="8" t="n">
        <v>1500</v>
      </c>
      <c r="C76" s="5" t="inlineStr">
        <is>
          <t>USD/mo</t>
        </is>
      </c>
      <c r="D76" t="inlineStr"/>
    </row>
    <row r="77">
      <c r="A77" s="3" t="inlineStr">
        <is>
          <t>Months 13-18 (1-2 Contractors)</t>
        </is>
      </c>
      <c r="B77" s="8" t="n">
        <v>3000</v>
      </c>
      <c r="C77" s="5" t="inlineStr">
        <is>
          <t>USD/mo</t>
        </is>
      </c>
      <c r="D77" t="inlineStr"/>
    </row>
    <row r="78">
      <c r="A78" s="3" t="inlineStr">
        <is>
          <t>Months 19-24 (Small Team)</t>
        </is>
      </c>
      <c r="B78" s="8" t="n">
        <v>6000</v>
      </c>
      <c r="C78" s="5" t="inlineStr">
        <is>
          <t>USD/mo</t>
        </is>
      </c>
      <c r="D78" t="inlineStr"/>
    </row>
    <row r="79">
      <c r="A79" t="inlineStr"/>
    </row>
    <row r="80">
      <c r="A80" s="2" t="inlineStr">
        <is>
          <t>LEGAL / ACCOUNTING</t>
        </is>
      </c>
    </row>
    <row r="81">
      <c r="A81" s="3" t="inlineStr">
        <is>
          <t>Year 1 (Basic)</t>
        </is>
      </c>
      <c r="B81" s="8" t="n">
        <v>100</v>
      </c>
      <c r="C81" s="5" t="inlineStr">
        <is>
          <t>USD/mo</t>
        </is>
      </c>
      <c r="D81" t="inlineStr">
        <is>
          <t>Bookkeeping, tax prep only</t>
        </is>
      </c>
    </row>
    <row r="82">
      <c r="A82" s="3" t="inlineStr">
        <is>
          <t>Year 2 (Basic)</t>
        </is>
      </c>
      <c r="B82" s="8" t="n">
        <v>300</v>
      </c>
      <c r="C82" s="5" t="inlineStr">
        <is>
          <t>USD/mo</t>
        </is>
      </c>
      <c r="D82" t="inlineStr">
        <is>
          <t>Bookkeeping + general counsel</t>
        </is>
      </c>
    </row>
    <row r="83">
      <c r="A83" t="inlineStr"/>
    </row>
    <row r="84">
      <c r="A84" t="inlineStr">
        <is>
          <t>DFS REGULATORY — CANADA (post-100K users)</t>
        </is>
      </c>
    </row>
    <row r="85">
      <c r="A85" s="3" t="inlineStr">
        <is>
          <t>DFS Regulatory Threshold</t>
        </is>
      </c>
      <c r="B85" s="8" t="n">
        <v>100000</v>
      </c>
      <c r="C85" s="5" t="inlineStr">
        <is>
          <t>users</t>
        </is>
      </c>
      <c r="D85" t="inlineStr">
        <is>
          <t>Triggers licensing costs</t>
        </is>
      </c>
    </row>
    <row r="86">
      <c r="A86" s="3" t="inlineStr">
        <is>
          <t>Ontario iGaming Registration</t>
        </is>
      </c>
      <c r="B86" s="8" t="n">
        <v>2000</v>
      </c>
      <c r="C86" s="5" t="inlineStr">
        <is>
          <t>USD/mo</t>
        </is>
      </c>
      <c r="D86" t="inlineStr">
        <is>
          <t>iGaming Ontario reg + annual fees amortized</t>
        </is>
      </c>
    </row>
    <row r="87">
      <c r="A87" s="3" t="inlineStr">
        <is>
          <t>Gaming Compliance Counsel</t>
        </is>
      </c>
      <c r="B87" s="8" t="n">
        <v>2500</v>
      </c>
      <c r="C87" s="5" t="inlineStr">
        <is>
          <t>USD/mo</t>
        </is>
      </c>
      <c r="D87" t="inlineStr">
        <is>
          <t>Canadian gaming law, FINTRAC AML</t>
        </is>
      </c>
    </row>
    <row r="88">
      <c r="A88" s="3" t="inlineStr">
        <is>
          <t>Insurance / Bonding</t>
        </is>
      </c>
      <c r="B88" s="8" t="n">
        <v>800</v>
      </c>
      <c r="C88" s="5" t="inlineStr">
        <is>
          <t>USD/mo</t>
        </is>
      </c>
      <c r="D88" t="inlineStr">
        <is>
          <t>E&amp;O, player fund segregation</t>
        </is>
      </c>
    </row>
    <row r="89">
      <c r="A89" s="3" t="inlineStr">
        <is>
          <t>Provincial Registration Fees</t>
        </is>
      </c>
      <c r="B89" s="8" t="n">
        <v>500</v>
      </c>
      <c r="C89" s="5" t="inlineStr">
        <is>
          <t>USD/mo</t>
        </is>
      </c>
      <c r="D89" t="inlineStr">
        <is>
          <t>AB/BC/QC nominal fees amortized</t>
        </is>
      </c>
    </row>
    <row r="90">
      <c r="A90" t="inlineStr"/>
    </row>
    <row r="91">
      <c r="A91" t="inlineStr">
        <is>
          <t>USER GROWTH / ACQUISITION (Monthly New Users)</t>
        </is>
      </c>
    </row>
    <row r="92">
      <c r="A92" s="3" t="inlineStr">
        <is>
          <t xml:space="preserve">  New Users — Apr-26</t>
        </is>
      </c>
      <c r="B92" s="8" t="n">
        <v>150</v>
      </c>
      <c r="C92" s="5" t="inlineStr">
        <is>
          <t>users</t>
        </is>
      </c>
      <c r="D92" t="inlineStr">
        <is>
          <t>Monthly new user target</t>
        </is>
      </c>
    </row>
    <row r="93">
      <c r="A93" s="3" t="inlineStr">
        <is>
          <t xml:space="preserve">  New Users — May-26</t>
        </is>
      </c>
      <c r="B93" s="8" t="n">
        <v>200</v>
      </c>
      <c r="C93" s="5" t="inlineStr">
        <is>
          <t>users</t>
        </is>
      </c>
      <c r="D93" t="inlineStr">
        <is>
          <t>Monthly new user target</t>
        </is>
      </c>
    </row>
    <row r="94">
      <c r="A94" s="3" t="inlineStr">
        <is>
          <t xml:space="preserve">  New Users — Jun-26</t>
        </is>
      </c>
      <c r="B94" s="8" t="n">
        <v>250</v>
      </c>
      <c r="C94" s="5" t="inlineStr">
        <is>
          <t>users</t>
        </is>
      </c>
      <c r="D94" t="inlineStr">
        <is>
          <t>Monthly new user target</t>
        </is>
      </c>
    </row>
    <row r="95">
      <c r="A95" s="3" t="inlineStr">
        <is>
          <t xml:space="preserve">  New Users — Jul-26</t>
        </is>
      </c>
      <c r="B95" s="8" t="n">
        <v>300</v>
      </c>
      <c r="C95" s="5" t="inlineStr">
        <is>
          <t>users</t>
        </is>
      </c>
      <c r="D95" t="inlineStr">
        <is>
          <t>Monthly new user target</t>
        </is>
      </c>
    </row>
    <row r="96">
      <c r="A96" s="3" t="inlineStr">
        <is>
          <t xml:space="preserve">  New Users — Aug-26</t>
        </is>
      </c>
      <c r="B96" s="8" t="n">
        <v>400</v>
      </c>
      <c r="C96" s="5" t="inlineStr">
        <is>
          <t>users</t>
        </is>
      </c>
      <c r="D96" t="inlineStr">
        <is>
          <t>Monthly new user target</t>
        </is>
      </c>
    </row>
    <row r="97">
      <c r="A97" s="3" t="inlineStr">
        <is>
          <t xml:space="preserve">  New Users — Sep-26</t>
        </is>
      </c>
      <c r="B97" s="8" t="n">
        <v>500</v>
      </c>
      <c r="C97" s="5" t="inlineStr">
        <is>
          <t>users</t>
        </is>
      </c>
      <c r="D97" t="inlineStr">
        <is>
          <t>Monthly new user target</t>
        </is>
      </c>
    </row>
    <row r="98">
      <c r="A98" s="3" t="inlineStr">
        <is>
          <t xml:space="preserve">  New Users — Oct-26</t>
        </is>
      </c>
      <c r="B98" s="8" t="n">
        <v>2000</v>
      </c>
      <c r="C98" s="5" t="inlineStr">
        <is>
          <t>users</t>
        </is>
      </c>
      <c r="D98" t="inlineStr">
        <is>
          <t>Monthly new user target</t>
        </is>
      </c>
    </row>
    <row r="99">
      <c r="A99" s="3" t="inlineStr">
        <is>
          <t xml:space="preserve">  New Users — Nov-26</t>
        </is>
      </c>
      <c r="B99" s="8" t="n">
        <v>2500</v>
      </c>
      <c r="C99" s="5" t="inlineStr">
        <is>
          <t>users</t>
        </is>
      </c>
      <c r="D99" t="inlineStr">
        <is>
          <t>Monthly new user target</t>
        </is>
      </c>
    </row>
    <row r="100">
      <c r="A100" s="3" t="inlineStr">
        <is>
          <t xml:space="preserve">  New Users — Dec-26</t>
        </is>
      </c>
      <c r="B100" s="8" t="n">
        <v>2200</v>
      </c>
      <c r="C100" s="5" t="inlineStr">
        <is>
          <t>users</t>
        </is>
      </c>
      <c r="D100" t="inlineStr">
        <is>
          <t>Monthly new user target</t>
        </is>
      </c>
    </row>
    <row r="101">
      <c r="A101" s="3" t="inlineStr">
        <is>
          <t xml:space="preserve">  New Users — Jan-27</t>
        </is>
      </c>
      <c r="B101" s="8" t="n">
        <v>1800</v>
      </c>
      <c r="C101" s="5" t="inlineStr">
        <is>
          <t>users</t>
        </is>
      </c>
      <c r="D101" t="inlineStr">
        <is>
          <t>Monthly new user target</t>
        </is>
      </c>
    </row>
    <row r="102">
      <c r="A102" s="3" t="inlineStr">
        <is>
          <t xml:space="preserve">  New Users — Feb-27</t>
        </is>
      </c>
      <c r="B102" s="8" t="n">
        <v>1500</v>
      </c>
      <c r="C102" s="5" t="inlineStr">
        <is>
          <t>users</t>
        </is>
      </c>
      <c r="D102" t="inlineStr">
        <is>
          <t>Monthly new user target</t>
        </is>
      </c>
    </row>
    <row r="103">
      <c r="A103" s="3" t="inlineStr">
        <is>
          <t xml:space="preserve">  New Users — Mar-27</t>
        </is>
      </c>
      <c r="B103" s="8" t="n">
        <v>1200</v>
      </c>
      <c r="C103" s="5" t="inlineStr">
        <is>
          <t>users</t>
        </is>
      </c>
      <c r="D103" t="inlineStr">
        <is>
          <t>Monthly new user target</t>
        </is>
      </c>
    </row>
    <row r="104">
      <c r="A104" s="3" t="inlineStr">
        <is>
          <t xml:space="preserve">  New Users — Apr-27</t>
        </is>
      </c>
      <c r="B104" s="8" t="n">
        <v>1200</v>
      </c>
      <c r="C104" s="5" t="inlineStr">
        <is>
          <t>users</t>
        </is>
      </c>
      <c r="D104" t="inlineStr">
        <is>
          <t>Monthly new user target</t>
        </is>
      </c>
    </row>
    <row r="105">
      <c r="A105" s="3" t="inlineStr">
        <is>
          <t xml:space="preserve">  New Users — May-27</t>
        </is>
      </c>
      <c r="B105" s="8" t="n">
        <v>1000</v>
      </c>
      <c r="C105" s="5" t="inlineStr">
        <is>
          <t>users</t>
        </is>
      </c>
      <c r="D105" t="inlineStr">
        <is>
          <t>Monthly new user target</t>
        </is>
      </c>
    </row>
    <row r="106">
      <c r="A106" s="3" t="inlineStr">
        <is>
          <t xml:space="preserve">  New Users — Jun-27</t>
        </is>
      </c>
      <c r="B106" s="8" t="n">
        <v>900</v>
      </c>
      <c r="C106" s="5" t="inlineStr">
        <is>
          <t>users</t>
        </is>
      </c>
      <c r="D106" t="inlineStr">
        <is>
          <t>Monthly new user target</t>
        </is>
      </c>
    </row>
    <row r="107">
      <c r="A107" s="3" t="inlineStr">
        <is>
          <t xml:space="preserve">  New Users — Jul-27</t>
        </is>
      </c>
      <c r="B107" s="8" t="n">
        <v>1200</v>
      </c>
      <c r="C107" s="5" t="inlineStr">
        <is>
          <t>users</t>
        </is>
      </c>
      <c r="D107" t="inlineStr">
        <is>
          <t>Monthly new user target</t>
        </is>
      </c>
    </row>
    <row r="108">
      <c r="A108" s="3" t="inlineStr">
        <is>
          <t xml:space="preserve">  New Users — Aug-27</t>
        </is>
      </c>
      <c r="B108" s="8" t="n">
        <v>2000</v>
      </c>
      <c r="C108" s="5" t="inlineStr">
        <is>
          <t>users</t>
        </is>
      </c>
      <c r="D108" t="inlineStr">
        <is>
          <t>Monthly new user target</t>
        </is>
      </c>
    </row>
    <row r="109">
      <c r="A109" s="3" t="inlineStr">
        <is>
          <t xml:space="preserve">  New Users — Sep-27</t>
        </is>
      </c>
      <c r="B109" s="8" t="n">
        <v>3500</v>
      </c>
      <c r="C109" s="5" t="inlineStr">
        <is>
          <t>users</t>
        </is>
      </c>
      <c r="D109" t="inlineStr">
        <is>
          <t>Monthly new user target</t>
        </is>
      </c>
    </row>
    <row r="110">
      <c r="A110" s="3" t="inlineStr">
        <is>
          <t xml:space="preserve">  New Users — Oct-27</t>
        </is>
      </c>
      <c r="B110" s="8" t="n">
        <v>17000</v>
      </c>
      <c r="C110" s="5" t="inlineStr">
        <is>
          <t>users</t>
        </is>
      </c>
      <c r="D110" t="inlineStr">
        <is>
          <t>Monthly new user target</t>
        </is>
      </c>
    </row>
    <row r="111">
      <c r="A111" s="3" t="inlineStr">
        <is>
          <t xml:space="preserve">  New Users — Nov-27</t>
        </is>
      </c>
      <c r="B111" s="8" t="n">
        <v>20000</v>
      </c>
      <c r="C111" s="5" t="inlineStr">
        <is>
          <t>users</t>
        </is>
      </c>
      <c r="D111" t="inlineStr">
        <is>
          <t>Monthly new user target</t>
        </is>
      </c>
    </row>
    <row r="112">
      <c r="A112" s="3" t="inlineStr">
        <is>
          <t xml:space="preserve">  New Users — Dec-27</t>
        </is>
      </c>
      <c r="B112" s="8" t="n">
        <v>20000</v>
      </c>
      <c r="C112" s="5" t="inlineStr">
        <is>
          <t>users</t>
        </is>
      </c>
      <c r="D112" t="inlineStr">
        <is>
          <t>Monthly new user target</t>
        </is>
      </c>
    </row>
    <row r="113">
      <c r="A113" s="3" t="inlineStr">
        <is>
          <t xml:space="preserve">  New Users — Jan-28</t>
        </is>
      </c>
      <c r="B113" s="8" t="n">
        <v>18000</v>
      </c>
      <c r="C113" s="5" t="inlineStr">
        <is>
          <t>users</t>
        </is>
      </c>
      <c r="D113" t="inlineStr">
        <is>
          <t>Monthly new user target</t>
        </is>
      </c>
    </row>
    <row r="114">
      <c r="A114" s="3" t="inlineStr">
        <is>
          <t xml:space="preserve">  New Users — Feb-28</t>
        </is>
      </c>
      <c r="B114" s="8" t="n">
        <v>16000</v>
      </c>
      <c r="C114" s="5" t="inlineStr">
        <is>
          <t>users</t>
        </is>
      </c>
      <c r="D114" t="inlineStr">
        <is>
          <t>Monthly new user target</t>
        </is>
      </c>
    </row>
    <row r="115">
      <c r="A115" s="3" t="inlineStr">
        <is>
          <t xml:space="preserve">  New Users — Mar-28</t>
        </is>
      </c>
      <c r="B115" s="8" t="n">
        <v>13000</v>
      </c>
      <c r="C115" s="5" t="inlineStr">
        <is>
          <t>users</t>
        </is>
      </c>
      <c r="D115" t="inlineStr">
        <is>
          <t>Monthly new user target</t>
        </is>
      </c>
    </row>
    <row r="116">
      <c r="A116" t="inlineStr"/>
    </row>
    <row r="117">
      <c r="A117" s="2" t="inlineStr">
        <is>
          <t>CASH</t>
        </is>
      </c>
    </row>
    <row r="118">
      <c r="A118" s="3" t="inlineStr">
        <is>
          <t>Starting Cash</t>
        </is>
      </c>
      <c r="B118" s="8" t="n">
        <v>1000</v>
      </c>
      <c r="C118" s="5" t="inlineStr">
        <is>
          <t>USD</t>
        </is>
      </c>
      <c r="D118" t="inlineStr"/>
    </row>
    <row r="120">
      <c r="A120" t="inlineStr">
        <is>
          <t>MARKET REFERENCE (informational)</t>
        </is>
      </c>
    </row>
    <row r="121">
      <c r="A121" s="3" t="inlineStr">
        <is>
          <t>TAM — Fantasy Sports (2025)</t>
        </is>
      </c>
      <c r="B121" s="5" t="inlineStr">
        <is>
          <t>$32B+</t>
        </is>
      </c>
      <c r="C121" s="5" t="inlineStr">
        <is>
          <t>USD</t>
        </is>
      </c>
      <c r="D121" t="inlineStr">
        <is>
          <t>Mordor Intelligence</t>
        </is>
      </c>
    </row>
    <row r="122">
      <c r="A122" s="3" t="inlineStr">
        <is>
          <t>SAM — Fantasy Hockey Global</t>
        </is>
      </c>
      <c r="B122" s="5" t="inlineStr">
        <is>
          <t>$1-2B</t>
        </is>
      </c>
      <c r="C122" s="5" t="inlineStr">
        <is>
          <t>USD</t>
        </is>
      </c>
      <c r="D122" t="inlineStr">
        <is>
          <t>Industry estimates</t>
        </is>
      </c>
    </row>
    <row r="123">
      <c r="A123" s="3" t="inlineStr">
        <is>
          <t>Active Fantasy Hockey Players (NA)</t>
        </is>
      </c>
      <c r="B123" s="5" t="inlineStr">
        <is>
          <t>5,800,000</t>
        </is>
      </c>
      <c r="C123" s="5" t="inlineStr">
        <is>
          <t>Users</t>
        </is>
      </c>
      <c r="D123" t="inlineStr">
        <is>
          <t>FSGA industry data</t>
        </is>
      </c>
    </row>
    <row r="124">
      <c r="A124" s="3" t="inlineStr">
        <is>
          <t>NHL Fantasy CAGR</t>
        </is>
      </c>
      <c r="B124" s="5" t="inlineStr">
        <is>
          <t>14.6%</t>
        </is>
      </c>
      <c r="C124" s="5" t="inlineStr">
        <is>
          <t>%</t>
        </is>
      </c>
      <c r="D124" t="inlineStr">
        <is>
          <t>Mordor Intelligence</t>
        </is>
      </c>
    </row>
    <row r="125">
      <c r="A125" t="inlineStr"/>
    </row>
    <row r="126">
      <c r="A126" s="2" t="inlineStr">
        <is>
          <t>BENCHMARKS</t>
        </is>
      </c>
    </row>
    <row r="127">
      <c r="A127" s="3" t="inlineStr">
        <is>
          <t>Mobile Freemium Median</t>
        </is>
      </c>
      <c r="B127" s="5" t="inlineStr">
        <is>
          <t>2.18%</t>
        </is>
      </c>
      <c r="C127" s="5" t="inlineStr">
        <is>
          <t>%</t>
        </is>
      </c>
      <c r="D127" t="inlineStr">
        <is>
          <t>RevenueCat 2025</t>
        </is>
      </c>
    </row>
    <row r="128">
      <c r="A128" s="3" t="inlineStr">
        <is>
          <t>Sleeper Annual Retention</t>
        </is>
      </c>
      <c r="B128" s="5" t="inlineStr">
        <is>
          <t>75%</t>
        </is>
      </c>
      <c r="C128" s="5" t="inlineStr">
        <is>
          <t>%</t>
        </is>
      </c>
      <c r="D128" t="inlineStr">
        <is>
          <t>Sleeper Series C PR</t>
        </is>
      </c>
    </row>
    <row r="129">
      <c r="A129" s="3" t="inlineStr">
        <is>
          <t>DraftKings/FanDuel CAC</t>
        </is>
      </c>
      <c r="B129" s="5" t="inlineStr">
        <is>
          <t>$200-350</t>
        </is>
      </c>
      <c r="C129" s="5" t="inlineStr">
        <is>
          <t>USD</t>
        </is>
      </c>
      <c r="D129" t="inlineStr">
        <is>
          <t>BusinessOfApps</t>
        </is>
      </c>
    </row>
    <row r="130">
      <c r="A130" s="3" t="inlineStr">
        <is>
          <t>NA Mobile CPI</t>
        </is>
      </c>
      <c r="B130" s="5" t="inlineStr">
        <is>
          <t>$5.28</t>
        </is>
      </c>
      <c r="C130" s="5" t="inlineStr">
        <is>
          <t>USD</t>
        </is>
      </c>
      <c r="D130" t="inlineStr">
        <is>
          <t>BusinessOfApps</t>
        </is>
      </c>
    </row>
    <row r="132">
      <c r="A132" s="11" t="inlineStr">
        <is>
          <t>Edit any yellow cell above to recalculate the entire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NHL Season Status</t>
        </is>
      </c>
      <c r="B2" s="13" t="inlineStr">
        <is>
          <t>OFF-SEASON</t>
        </is>
      </c>
      <c r="C2" s="13" t="inlineStr">
        <is>
          <t>OFF-SEASON</t>
        </is>
      </c>
      <c r="D2" s="13" t="inlineStr">
        <is>
          <t>OFF-SEASON</t>
        </is>
      </c>
      <c r="E2" s="13" t="inlineStr">
        <is>
          <t>OFF-SEASON</t>
        </is>
      </c>
      <c r="F2" s="13" t="inlineStr">
        <is>
          <t>OFF-SEASON</t>
        </is>
      </c>
      <c r="G2" s="13" t="inlineStr">
        <is>
          <t>OFF-SEASON</t>
        </is>
      </c>
      <c r="H2" s="14" t="inlineStr">
        <is>
          <t>IN-SEASON</t>
        </is>
      </c>
      <c r="I2" s="14" t="inlineStr">
        <is>
          <t>IN-SEASON</t>
        </is>
      </c>
      <c r="J2" s="14" t="inlineStr">
        <is>
          <t>IN-SEASON</t>
        </is>
      </c>
      <c r="K2" s="14" t="inlineStr">
        <is>
          <t>IN-SEASON</t>
        </is>
      </c>
      <c r="L2" s="14" t="inlineStr">
        <is>
          <t>IN-SEASON</t>
        </is>
      </c>
      <c r="M2" s="14" t="inlineStr">
        <is>
          <t>IN-SEASON</t>
        </is>
      </c>
      <c r="N2" s="13" t="inlineStr">
        <is>
          <t>OFF-SEASON</t>
        </is>
      </c>
      <c r="O2" s="13" t="inlineStr">
        <is>
          <t>OFF-SEASON</t>
        </is>
      </c>
      <c r="P2" s="13" t="inlineStr">
        <is>
          <t>OFF-SEASON</t>
        </is>
      </c>
      <c r="Q2" s="13" t="inlineStr">
        <is>
          <t>OFF-SEASON</t>
        </is>
      </c>
      <c r="R2" s="13" t="inlineStr">
        <is>
          <t>OFF-SEASON</t>
        </is>
      </c>
      <c r="S2" s="13" t="inlineStr">
        <is>
          <t>OFF-SEASON</t>
        </is>
      </c>
      <c r="T2" s="14" t="inlineStr">
        <is>
          <t>IN-SEASON</t>
        </is>
      </c>
      <c r="U2" s="14" t="inlineStr">
        <is>
          <t>IN-SEASON</t>
        </is>
      </c>
      <c r="V2" s="14" t="inlineStr">
        <is>
          <t>IN-SEASON</t>
        </is>
      </c>
      <c r="W2" s="14" t="inlineStr">
        <is>
          <t>IN-SEASON</t>
        </is>
      </c>
      <c r="X2" s="14" t="inlineStr">
        <is>
          <t>IN-SEASON</t>
        </is>
      </c>
      <c r="Y2" s="14" t="inlineStr">
        <is>
          <t>IN-SEASON</t>
        </is>
      </c>
    </row>
    <row r="3">
      <c r="A3" s="12" t="inlineStr">
        <is>
          <t>New Users Acquired</t>
        </is>
      </c>
      <c r="B3" s="15">
        <f>Assumptions!$B$92</f>
        <v/>
      </c>
      <c r="C3" s="15">
        <f>Assumptions!$B$93</f>
        <v/>
      </c>
      <c r="D3" s="15">
        <f>Assumptions!$B$94</f>
        <v/>
      </c>
      <c r="E3" s="15">
        <f>Assumptions!$B$95</f>
        <v/>
      </c>
      <c r="F3" s="15">
        <f>Assumptions!$B$96</f>
        <v/>
      </c>
      <c r="G3" s="15">
        <f>Assumptions!$B$97</f>
        <v/>
      </c>
      <c r="H3" s="15">
        <f>Assumptions!$B$98</f>
        <v/>
      </c>
      <c r="I3" s="15">
        <f>Assumptions!$B$99</f>
        <v/>
      </c>
      <c r="J3" s="15">
        <f>Assumptions!$B$100</f>
        <v/>
      </c>
      <c r="K3" s="15">
        <f>Assumptions!$B$101</f>
        <v/>
      </c>
      <c r="L3" s="15">
        <f>Assumptions!$B$102</f>
        <v/>
      </c>
      <c r="M3" s="15">
        <f>Assumptions!$B$103</f>
        <v/>
      </c>
      <c r="N3" s="15">
        <f>Assumptions!$B$104</f>
        <v/>
      </c>
      <c r="O3" s="15">
        <f>Assumptions!$B$105</f>
        <v/>
      </c>
      <c r="P3" s="15">
        <f>Assumptions!$B$106</f>
        <v/>
      </c>
      <c r="Q3" s="15">
        <f>Assumptions!$B$107</f>
        <v/>
      </c>
      <c r="R3" s="15">
        <f>Assumptions!$B$108</f>
        <v/>
      </c>
      <c r="S3" s="15">
        <f>Assumptions!$B$109</f>
        <v/>
      </c>
      <c r="T3" s="15">
        <f>Assumptions!$B$110</f>
        <v/>
      </c>
      <c r="U3" s="15">
        <f>Assumptions!$B$111</f>
        <v/>
      </c>
      <c r="V3" s="15">
        <f>Assumptions!$B$112</f>
        <v/>
      </c>
      <c r="W3" s="15">
        <f>Assumptions!$B$113</f>
        <v/>
      </c>
      <c r="X3" s="15">
        <f>Assumptions!$B$114</f>
        <v/>
      </c>
      <c r="Y3" s="15">
        <f>Assumptions!$B$115</f>
        <v/>
      </c>
    </row>
    <row r="5">
      <c r="A5" s="3" t="inlineStr">
        <is>
          <t xml:space="preserve">  Eff. Conv Rate → Pro</t>
        </is>
      </c>
      <c r="B5" s="16">
        <f>IF(COLUMN()&lt;14,Assumptions!$B$10,Assumptions!$B$11)*IF(B2="IN-SEASON",Assumptions!$B$14,Assumptions!$B$15)</f>
        <v/>
      </c>
      <c r="C5" s="16">
        <f>IF(COLUMN()&lt;14,Assumptions!$B$10,Assumptions!$B$11)*IF(C2="IN-SEASON",Assumptions!$B$14,Assumptions!$B$15)</f>
        <v/>
      </c>
      <c r="D5" s="16">
        <f>IF(COLUMN()&lt;14,Assumptions!$B$10,Assumptions!$B$11)*IF(D2="IN-SEASON",Assumptions!$B$14,Assumptions!$B$15)</f>
        <v/>
      </c>
      <c r="E5" s="16">
        <f>IF(COLUMN()&lt;14,Assumptions!$B$10,Assumptions!$B$11)*IF(E2="IN-SEASON",Assumptions!$B$14,Assumptions!$B$15)</f>
        <v/>
      </c>
      <c r="F5" s="16">
        <f>IF(COLUMN()&lt;14,Assumptions!$B$10,Assumptions!$B$11)*IF(F2="IN-SEASON",Assumptions!$B$14,Assumptions!$B$15)</f>
        <v/>
      </c>
      <c r="G5" s="16">
        <f>IF(COLUMN()&lt;14,Assumptions!$B$10,Assumptions!$B$11)*IF(G2="IN-SEASON",Assumptions!$B$14,Assumptions!$B$15)</f>
        <v/>
      </c>
      <c r="H5" s="16">
        <f>IF(COLUMN()&lt;14,Assumptions!$B$10,Assumptions!$B$11)*IF(H2="IN-SEASON",Assumptions!$B$14,Assumptions!$B$15)</f>
        <v/>
      </c>
      <c r="I5" s="16">
        <f>IF(COLUMN()&lt;14,Assumptions!$B$10,Assumptions!$B$11)*IF(I2="IN-SEASON",Assumptions!$B$14,Assumptions!$B$15)</f>
        <v/>
      </c>
      <c r="J5" s="16">
        <f>IF(COLUMN()&lt;14,Assumptions!$B$10,Assumptions!$B$11)*IF(J2="IN-SEASON",Assumptions!$B$14,Assumptions!$B$15)</f>
        <v/>
      </c>
      <c r="K5" s="16">
        <f>IF(COLUMN()&lt;14,Assumptions!$B$10,Assumptions!$B$11)*IF(K2="IN-SEASON",Assumptions!$B$14,Assumptions!$B$15)</f>
        <v/>
      </c>
      <c r="L5" s="16">
        <f>IF(COLUMN()&lt;14,Assumptions!$B$10,Assumptions!$B$11)*IF(L2="IN-SEASON",Assumptions!$B$14,Assumptions!$B$15)</f>
        <v/>
      </c>
      <c r="M5" s="16">
        <f>IF(COLUMN()&lt;14,Assumptions!$B$10,Assumptions!$B$11)*IF(M2="IN-SEASON",Assumptions!$B$14,Assumptions!$B$15)</f>
        <v/>
      </c>
      <c r="N5" s="16">
        <f>IF(COLUMN()&lt;14,Assumptions!$B$10,Assumptions!$B$11)*IF(N2="IN-SEASON",Assumptions!$B$14,Assumptions!$B$15)</f>
        <v/>
      </c>
      <c r="O5" s="16">
        <f>IF(COLUMN()&lt;14,Assumptions!$B$10,Assumptions!$B$11)*IF(O2="IN-SEASON",Assumptions!$B$14,Assumptions!$B$15)</f>
        <v/>
      </c>
      <c r="P5" s="16">
        <f>IF(COLUMN()&lt;14,Assumptions!$B$10,Assumptions!$B$11)*IF(P2="IN-SEASON",Assumptions!$B$14,Assumptions!$B$15)</f>
        <v/>
      </c>
      <c r="Q5" s="16">
        <f>IF(COLUMN()&lt;14,Assumptions!$B$10,Assumptions!$B$11)*IF(Q2="IN-SEASON",Assumptions!$B$14,Assumptions!$B$15)</f>
        <v/>
      </c>
      <c r="R5" s="16">
        <f>IF(COLUMN()&lt;14,Assumptions!$B$10,Assumptions!$B$11)*IF(R2="IN-SEASON",Assumptions!$B$14,Assumptions!$B$15)</f>
        <v/>
      </c>
      <c r="S5" s="16">
        <f>IF(COLUMN()&lt;14,Assumptions!$B$10,Assumptions!$B$11)*IF(S2="IN-SEASON",Assumptions!$B$14,Assumptions!$B$15)</f>
        <v/>
      </c>
      <c r="T5" s="16">
        <f>IF(COLUMN()&lt;14,Assumptions!$B$10,Assumptions!$B$11)*IF(T2="IN-SEASON",Assumptions!$B$14,Assumptions!$B$15)</f>
        <v/>
      </c>
      <c r="U5" s="16">
        <f>IF(COLUMN()&lt;14,Assumptions!$B$10,Assumptions!$B$11)*IF(U2="IN-SEASON",Assumptions!$B$14,Assumptions!$B$15)</f>
        <v/>
      </c>
      <c r="V5" s="16">
        <f>IF(COLUMN()&lt;14,Assumptions!$B$10,Assumptions!$B$11)*IF(V2="IN-SEASON",Assumptions!$B$14,Assumptions!$B$15)</f>
        <v/>
      </c>
      <c r="W5" s="16">
        <f>IF(COLUMN()&lt;14,Assumptions!$B$10,Assumptions!$B$11)*IF(W2="IN-SEASON",Assumptions!$B$14,Assumptions!$B$15)</f>
        <v/>
      </c>
      <c r="X5" s="16">
        <f>IF(COLUMN()&lt;14,Assumptions!$B$10,Assumptions!$B$11)*IF(X2="IN-SEASON",Assumptions!$B$14,Assumptions!$B$15)</f>
        <v/>
      </c>
      <c r="Y5" s="16">
        <f>IF(COLUMN()&lt;14,Assumptions!$B$10,Assumptions!$B$11)*IF(Y2="IN-SEASON",Assumptions!$B$14,Assumptions!$B$15)</f>
        <v/>
      </c>
    </row>
    <row r="6">
      <c r="A6" s="3" t="inlineStr">
        <is>
          <t xml:space="preserve">  Eff. Conv Rate → Comm</t>
        </is>
      </c>
      <c r="B6" s="16">
        <f>IF(COLUMN()&lt;14,Assumptions!$B$12,Assumptions!$B$13)*IF(B2="IN-SEASON",Assumptions!$B$14,Assumptions!$B$15)</f>
        <v/>
      </c>
      <c r="C6" s="16">
        <f>IF(COLUMN()&lt;14,Assumptions!$B$12,Assumptions!$B$13)*IF(C2="IN-SEASON",Assumptions!$B$14,Assumptions!$B$15)</f>
        <v/>
      </c>
      <c r="D6" s="16">
        <f>IF(COLUMN()&lt;14,Assumptions!$B$12,Assumptions!$B$13)*IF(D2="IN-SEASON",Assumptions!$B$14,Assumptions!$B$15)</f>
        <v/>
      </c>
      <c r="E6" s="16">
        <f>IF(COLUMN()&lt;14,Assumptions!$B$12,Assumptions!$B$13)*IF(E2="IN-SEASON",Assumptions!$B$14,Assumptions!$B$15)</f>
        <v/>
      </c>
      <c r="F6" s="16">
        <f>IF(COLUMN()&lt;14,Assumptions!$B$12,Assumptions!$B$13)*IF(F2="IN-SEASON",Assumptions!$B$14,Assumptions!$B$15)</f>
        <v/>
      </c>
      <c r="G6" s="16">
        <f>IF(COLUMN()&lt;14,Assumptions!$B$12,Assumptions!$B$13)*IF(G2="IN-SEASON",Assumptions!$B$14,Assumptions!$B$15)</f>
        <v/>
      </c>
      <c r="H6" s="16">
        <f>IF(COLUMN()&lt;14,Assumptions!$B$12,Assumptions!$B$13)*IF(H2="IN-SEASON",Assumptions!$B$14,Assumptions!$B$15)</f>
        <v/>
      </c>
      <c r="I6" s="16">
        <f>IF(COLUMN()&lt;14,Assumptions!$B$12,Assumptions!$B$13)*IF(I2="IN-SEASON",Assumptions!$B$14,Assumptions!$B$15)</f>
        <v/>
      </c>
      <c r="J6" s="16">
        <f>IF(COLUMN()&lt;14,Assumptions!$B$12,Assumptions!$B$13)*IF(J2="IN-SEASON",Assumptions!$B$14,Assumptions!$B$15)</f>
        <v/>
      </c>
      <c r="K6" s="16">
        <f>IF(COLUMN()&lt;14,Assumptions!$B$12,Assumptions!$B$13)*IF(K2="IN-SEASON",Assumptions!$B$14,Assumptions!$B$15)</f>
        <v/>
      </c>
      <c r="L6" s="16">
        <f>IF(COLUMN()&lt;14,Assumptions!$B$12,Assumptions!$B$13)*IF(L2="IN-SEASON",Assumptions!$B$14,Assumptions!$B$15)</f>
        <v/>
      </c>
      <c r="M6" s="16">
        <f>IF(COLUMN()&lt;14,Assumptions!$B$12,Assumptions!$B$13)*IF(M2="IN-SEASON",Assumptions!$B$14,Assumptions!$B$15)</f>
        <v/>
      </c>
      <c r="N6" s="16">
        <f>IF(COLUMN()&lt;14,Assumptions!$B$12,Assumptions!$B$13)*IF(N2="IN-SEASON",Assumptions!$B$14,Assumptions!$B$15)</f>
        <v/>
      </c>
      <c r="O6" s="16">
        <f>IF(COLUMN()&lt;14,Assumptions!$B$12,Assumptions!$B$13)*IF(O2="IN-SEASON",Assumptions!$B$14,Assumptions!$B$15)</f>
        <v/>
      </c>
      <c r="P6" s="16">
        <f>IF(COLUMN()&lt;14,Assumptions!$B$12,Assumptions!$B$13)*IF(P2="IN-SEASON",Assumptions!$B$14,Assumptions!$B$15)</f>
        <v/>
      </c>
      <c r="Q6" s="16">
        <f>IF(COLUMN()&lt;14,Assumptions!$B$12,Assumptions!$B$13)*IF(Q2="IN-SEASON",Assumptions!$B$14,Assumptions!$B$15)</f>
        <v/>
      </c>
      <c r="R6" s="16">
        <f>IF(COLUMN()&lt;14,Assumptions!$B$12,Assumptions!$B$13)*IF(R2="IN-SEASON",Assumptions!$B$14,Assumptions!$B$15)</f>
        <v/>
      </c>
      <c r="S6" s="16">
        <f>IF(COLUMN()&lt;14,Assumptions!$B$12,Assumptions!$B$13)*IF(S2="IN-SEASON",Assumptions!$B$14,Assumptions!$B$15)</f>
        <v/>
      </c>
      <c r="T6" s="16">
        <f>IF(COLUMN()&lt;14,Assumptions!$B$12,Assumptions!$B$13)*IF(T2="IN-SEASON",Assumptions!$B$14,Assumptions!$B$15)</f>
        <v/>
      </c>
      <c r="U6" s="16">
        <f>IF(COLUMN()&lt;14,Assumptions!$B$12,Assumptions!$B$13)*IF(U2="IN-SEASON",Assumptions!$B$14,Assumptions!$B$15)</f>
        <v/>
      </c>
      <c r="V6" s="16">
        <f>IF(COLUMN()&lt;14,Assumptions!$B$12,Assumptions!$B$13)*IF(V2="IN-SEASON",Assumptions!$B$14,Assumptions!$B$15)</f>
        <v/>
      </c>
      <c r="W6" s="16">
        <f>IF(COLUMN()&lt;14,Assumptions!$B$12,Assumptions!$B$13)*IF(W2="IN-SEASON",Assumptions!$B$14,Assumptions!$B$15)</f>
        <v/>
      </c>
      <c r="X6" s="16">
        <f>IF(COLUMN()&lt;14,Assumptions!$B$12,Assumptions!$B$13)*IF(X2="IN-SEASON",Assumptions!$B$14,Assumptions!$B$15)</f>
        <v/>
      </c>
      <c r="Y6" s="16">
        <f>IF(COLUMN()&lt;14,Assumptions!$B$12,Assumptions!$B$13)*IF(Y2="IN-SEASON",Assumptions!$B$14,Assumptions!$B$15)</f>
        <v/>
      </c>
    </row>
    <row r="7">
      <c r="A7" s="3" t="inlineStr">
        <is>
          <t xml:space="preserve">  Churn Rate (Free)</t>
        </is>
      </c>
      <c r="B7" s="16">
        <f>IF(B2="IN-SEASON",Assumptions!$B$22,Assumptions!$B$23)</f>
        <v/>
      </c>
      <c r="C7" s="16">
        <f>IF(C2="IN-SEASON",Assumptions!$B$22,Assumptions!$B$23)</f>
        <v/>
      </c>
      <c r="D7" s="16">
        <f>IF(D2="IN-SEASON",Assumptions!$B$22,Assumptions!$B$23)</f>
        <v/>
      </c>
      <c r="E7" s="16">
        <f>IF(E2="IN-SEASON",Assumptions!$B$22,Assumptions!$B$23)</f>
        <v/>
      </c>
      <c r="F7" s="16">
        <f>IF(F2="IN-SEASON",Assumptions!$B$22,Assumptions!$B$23)</f>
        <v/>
      </c>
      <c r="G7" s="16">
        <f>IF(G2="IN-SEASON",Assumptions!$B$22,Assumptions!$B$23)</f>
        <v/>
      </c>
      <c r="H7" s="16">
        <f>IF(H2="IN-SEASON",Assumptions!$B$22,Assumptions!$B$23)</f>
        <v/>
      </c>
      <c r="I7" s="16">
        <f>IF(I2="IN-SEASON",Assumptions!$B$22,Assumptions!$B$23)</f>
        <v/>
      </c>
      <c r="J7" s="16">
        <f>IF(J2="IN-SEASON",Assumptions!$B$22,Assumptions!$B$23)</f>
        <v/>
      </c>
      <c r="K7" s="16">
        <f>IF(K2="IN-SEASON",Assumptions!$B$22,Assumptions!$B$23)</f>
        <v/>
      </c>
      <c r="L7" s="16">
        <f>IF(L2="IN-SEASON",Assumptions!$B$22,Assumptions!$B$23)</f>
        <v/>
      </c>
      <c r="M7" s="16">
        <f>IF(M2="IN-SEASON",Assumptions!$B$22,Assumptions!$B$23)</f>
        <v/>
      </c>
      <c r="N7" s="16">
        <f>IF(N2="IN-SEASON",Assumptions!$B$22,Assumptions!$B$23)</f>
        <v/>
      </c>
      <c r="O7" s="16">
        <f>IF(O2="IN-SEASON",Assumptions!$B$22,Assumptions!$B$23)</f>
        <v/>
      </c>
      <c r="P7" s="16">
        <f>IF(P2="IN-SEASON",Assumptions!$B$22,Assumptions!$B$23)</f>
        <v/>
      </c>
      <c r="Q7" s="16">
        <f>IF(Q2="IN-SEASON",Assumptions!$B$22,Assumptions!$B$23)</f>
        <v/>
      </c>
      <c r="R7" s="16">
        <f>IF(R2="IN-SEASON",Assumptions!$B$22,Assumptions!$B$23)</f>
        <v/>
      </c>
      <c r="S7" s="16">
        <f>IF(S2="IN-SEASON",Assumptions!$B$22,Assumptions!$B$23)</f>
        <v/>
      </c>
      <c r="T7" s="16">
        <f>IF(T2="IN-SEASON",Assumptions!$B$22,Assumptions!$B$23)</f>
        <v/>
      </c>
      <c r="U7" s="16">
        <f>IF(U2="IN-SEASON",Assumptions!$B$22,Assumptions!$B$23)</f>
        <v/>
      </c>
      <c r="V7" s="16">
        <f>IF(V2="IN-SEASON",Assumptions!$B$22,Assumptions!$B$23)</f>
        <v/>
      </c>
      <c r="W7" s="16">
        <f>IF(W2="IN-SEASON",Assumptions!$B$22,Assumptions!$B$23)</f>
        <v/>
      </c>
      <c r="X7" s="16">
        <f>IF(X2="IN-SEASON",Assumptions!$B$22,Assumptions!$B$23)</f>
        <v/>
      </c>
      <c r="Y7" s="16">
        <f>IF(Y2="IN-SEASON",Assumptions!$B$22,Assumptions!$B$23)</f>
        <v/>
      </c>
    </row>
    <row r="8">
      <c r="A8" s="3" t="inlineStr">
        <is>
          <t xml:space="preserve">  Churn Rate (Pro)</t>
        </is>
      </c>
      <c r="B8" s="16">
        <f>IF(B2="IN-SEASON",Assumptions!$B$18,Assumptions!$B$19)</f>
        <v/>
      </c>
      <c r="C8" s="16">
        <f>IF(C2="IN-SEASON",Assumptions!$B$18,Assumptions!$B$19)</f>
        <v/>
      </c>
      <c r="D8" s="16">
        <f>IF(D2="IN-SEASON",Assumptions!$B$18,Assumptions!$B$19)</f>
        <v/>
      </c>
      <c r="E8" s="16">
        <f>IF(E2="IN-SEASON",Assumptions!$B$18,Assumptions!$B$19)</f>
        <v/>
      </c>
      <c r="F8" s="16">
        <f>IF(F2="IN-SEASON",Assumptions!$B$18,Assumptions!$B$19)</f>
        <v/>
      </c>
      <c r="G8" s="16">
        <f>IF(G2="IN-SEASON",Assumptions!$B$18,Assumptions!$B$19)</f>
        <v/>
      </c>
      <c r="H8" s="16">
        <f>IF(H2="IN-SEASON",Assumptions!$B$18,Assumptions!$B$19)</f>
        <v/>
      </c>
      <c r="I8" s="16">
        <f>IF(I2="IN-SEASON",Assumptions!$B$18,Assumptions!$B$19)</f>
        <v/>
      </c>
      <c r="J8" s="16">
        <f>IF(J2="IN-SEASON",Assumptions!$B$18,Assumptions!$B$19)</f>
        <v/>
      </c>
      <c r="K8" s="16">
        <f>IF(K2="IN-SEASON",Assumptions!$B$18,Assumptions!$B$19)</f>
        <v/>
      </c>
      <c r="L8" s="16">
        <f>IF(L2="IN-SEASON",Assumptions!$B$18,Assumptions!$B$19)</f>
        <v/>
      </c>
      <c r="M8" s="16">
        <f>IF(M2="IN-SEASON",Assumptions!$B$18,Assumptions!$B$19)</f>
        <v/>
      </c>
      <c r="N8" s="16">
        <f>IF(N2="IN-SEASON",Assumptions!$B$18,Assumptions!$B$19)</f>
        <v/>
      </c>
      <c r="O8" s="16">
        <f>IF(O2="IN-SEASON",Assumptions!$B$18,Assumptions!$B$19)</f>
        <v/>
      </c>
      <c r="P8" s="16">
        <f>IF(P2="IN-SEASON",Assumptions!$B$18,Assumptions!$B$19)</f>
        <v/>
      </c>
      <c r="Q8" s="16">
        <f>IF(Q2="IN-SEASON",Assumptions!$B$18,Assumptions!$B$19)</f>
        <v/>
      </c>
      <c r="R8" s="16">
        <f>IF(R2="IN-SEASON",Assumptions!$B$18,Assumptions!$B$19)</f>
        <v/>
      </c>
      <c r="S8" s="16">
        <f>IF(S2="IN-SEASON",Assumptions!$B$18,Assumptions!$B$19)</f>
        <v/>
      </c>
      <c r="T8" s="16">
        <f>IF(T2="IN-SEASON",Assumptions!$B$18,Assumptions!$B$19)</f>
        <v/>
      </c>
      <c r="U8" s="16">
        <f>IF(U2="IN-SEASON",Assumptions!$B$18,Assumptions!$B$19)</f>
        <v/>
      </c>
      <c r="V8" s="16">
        <f>IF(V2="IN-SEASON",Assumptions!$B$18,Assumptions!$B$19)</f>
        <v/>
      </c>
      <c r="W8" s="16">
        <f>IF(W2="IN-SEASON",Assumptions!$B$18,Assumptions!$B$19)</f>
        <v/>
      </c>
      <c r="X8" s="16">
        <f>IF(X2="IN-SEASON",Assumptions!$B$18,Assumptions!$B$19)</f>
        <v/>
      </c>
      <c r="Y8" s="16">
        <f>IF(Y2="IN-SEASON",Assumptions!$B$18,Assumptions!$B$19)</f>
        <v/>
      </c>
    </row>
    <row r="9">
      <c r="A9" s="3" t="inlineStr">
        <is>
          <t xml:space="preserve">  Churn Rate (Comm)</t>
        </is>
      </c>
      <c r="B9" s="16">
        <f>IF(B2="IN-SEASON",Assumptions!$B$20,Assumptions!$B$21)</f>
        <v/>
      </c>
      <c r="C9" s="16">
        <f>IF(C2="IN-SEASON",Assumptions!$B$20,Assumptions!$B$21)</f>
        <v/>
      </c>
      <c r="D9" s="16">
        <f>IF(D2="IN-SEASON",Assumptions!$B$20,Assumptions!$B$21)</f>
        <v/>
      </c>
      <c r="E9" s="16">
        <f>IF(E2="IN-SEASON",Assumptions!$B$20,Assumptions!$B$21)</f>
        <v/>
      </c>
      <c r="F9" s="16">
        <f>IF(F2="IN-SEASON",Assumptions!$B$20,Assumptions!$B$21)</f>
        <v/>
      </c>
      <c r="G9" s="16">
        <f>IF(G2="IN-SEASON",Assumptions!$B$20,Assumptions!$B$21)</f>
        <v/>
      </c>
      <c r="H9" s="16">
        <f>IF(H2="IN-SEASON",Assumptions!$B$20,Assumptions!$B$21)</f>
        <v/>
      </c>
      <c r="I9" s="16">
        <f>IF(I2="IN-SEASON",Assumptions!$B$20,Assumptions!$B$21)</f>
        <v/>
      </c>
      <c r="J9" s="16">
        <f>IF(J2="IN-SEASON",Assumptions!$B$20,Assumptions!$B$21)</f>
        <v/>
      </c>
      <c r="K9" s="16">
        <f>IF(K2="IN-SEASON",Assumptions!$B$20,Assumptions!$B$21)</f>
        <v/>
      </c>
      <c r="L9" s="16">
        <f>IF(L2="IN-SEASON",Assumptions!$B$20,Assumptions!$B$21)</f>
        <v/>
      </c>
      <c r="M9" s="16">
        <f>IF(M2="IN-SEASON",Assumptions!$B$20,Assumptions!$B$21)</f>
        <v/>
      </c>
      <c r="N9" s="16">
        <f>IF(N2="IN-SEASON",Assumptions!$B$20,Assumptions!$B$21)</f>
        <v/>
      </c>
      <c r="O9" s="16">
        <f>IF(O2="IN-SEASON",Assumptions!$B$20,Assumptions!$B$21)</f>
        <v/>
      </c>
      <c r="P9" s="16">
        <f>IF(P2="IN-SEASON",Assumptions!$B$20,Assumptions!$B$21)</f>
        <v/>
      </c>
      <c r="Q9" s="16">
        <f>IF(Q2="IN-SEASON",Assumptions!$B$20,Assumptions!$B$21)</f>
        <v/>
      </c>
      <c r="R9" s="16">
        <f>IF(R2="IN-SEASON",Assumptions!$B$20,Assumptions!$B$21)</f>
        <v/>
      </c>
      <c r="S9" s="16">
        <f>IF(S2="IN-SEASON",Assumptions!$B$20,Assumptions!$B$21)</f>
        <v/>
      </c>
      <c r="T9" s="16">
        <f>IF(T2="IN-SEASON",Assumptions!$B$20,Assumptions!$B$21)</f>
        <v/>
      </c>
      <c r="U9" s="16">
        <f>IF(U2="IN-SEASON",Assumptions!$B$20,Assumptions!$B$21)</f>
        <v/>
      </c>
      <c r="V9" s="16">
        <f>IF(V2="IN-SEASON",Assumptions!$B$20,Assumptions!$B$21)</f>
        <v/>
      </c>
      <c r="W9" s="16">
        <f>IF(W2="IN-SEASON",Assumptions!$B$20,Assumptions!$B$21)</f>
        <v/>
      </c>
      <c r="X9" s="16">
        <f>IF(X2="IN-SEASON",Assumptions!$B$20,Assumptions!$B$21)</f>
        <v/>
      </c>
      <c r="Y9" s="16">
        <f>IF(Y2="IN-SEASON",Assumptions!$B$20,Assumptions!$B$21)</f>
        <v/>
      </c>
    </row>
    <row r="11">
      <c r="A11" s="3" t="inlineStr">
        <is>
          <t>Churned Free Users</t>
        </is>
      </c>
      <c r="B11" s="15">
        <f>INT(0*B7)</f>
        <v/>
      </c>
      <c r="C11" s="15">
        <f>INT(B17*C7)</f>
        <v/>
      </c>
      <c r="D11" s="15">
        <f>INT(C17*D7)</f>
        <v/>
      </c>
      <c r="E11" s="15">
        <f>INT(D17*E7)</f>
        <v/>
      </c>
      <c r="F11" s="15">
        <f>INT(E17*F7)</f>
        <v/>
      </c>
      <c r="G11" s="15">
        <f>INT(F17*G7)</f>
        <v/>
      </c>
      <c r="H11" s="15">
        <f>INT(G17*H7)</f>
        <v/>
      </c>
      <c r="I11" s="15">
        <f>INT(H17*I7)</f>
        <v/>
      </c>
      <c r="J11" s="15">
        <f>INT(I17*J7)</f>
        <v/>
      </c>
      <c r="K11" s="15">
        <f>INT(J17*K7)</f>
        <v/>
      </c>
      <c r="L11" s="15">
        <f>INT(K17*L7)</f>
        <v/>
      </c>
      <c r="M11" s="15">
        <f>INT(L17*M7)</f>
        <v/>
      </c>
      <c r="N11" s="15">
        <f>INT(M17*N7)</f>
        <v/>
      </c>
      <c r="O11" s="15">
        <f>INT(N17*O7)</f>
        <v/>
      </c>
      <c r="P11" s="15">
        <f>INT(O17*P7)</f>
        <v/>
      </c>
      <c r="Q11" s="15">
        <f>INT(P17*Q7)</f>
        <v/>
      </c>
      <c r="R11" s="15">
        <f>INT(Q17*R7)</f>
        <v/>
      </c>
      <c r="S11" s="15">
        <f>INT(R17*S7)</f>
        <v/>
      </c>
      <c r="T11" s="15">
        <f>INT(S17*T7)</f>
        <v/>
      </c>
      <c r="U11" s="15">
        <f>INT(T17*U7)</f>
        <v/>
      </c>
      <c r="V11" s="15">
        <f>INT(U17*V7)</f>
        <v/>
      </c>
      <c r="W11" s="15">
        <f>INT(V17*W7)</f>
        <v/>
      </c>
      <c r="X11" s="15">
        <f>INT(W17*X7)</f>
        <v/>
      </c>
      <c r="Y11" s="15">
        <f>INT(X17*Y7)</f>
        <v/>
      </c>
    </row>
    <row r="12">
      <c r="A12" s="3" t="inlineStr">
        <is>
          <t>Churned Pro Users</t>
        </is>
      </c>
      <c r="B12" s="15">
        <f>INT(0*B8)</f>
        <v/>
      </c>
      <c r="C12" s="15">
        <f>INT(B18*C8)</f>
        <v/>
      </c>
      <c r="D12" s="15">
        <f>INT(C18*D8)</f>
        <v/>
      </c>
      <c r="E12" s="15">
        <f>INT(D18*E8)</f>
        <v/>
      </c>
      <c r="F12" s="15">
        <f>INT(E18*F8)</f>
        <v/>
      </c>
      <c r="G12" s="15">
        <f>INT(F18*G8)</f>
        <v/>
      </c>
      <c r="H12" s="15">
        <f>INT(G18*H8)</f>
        <v/>
      </c>
      <c r="I12" s="15">
        <f>INT(H18*I8)</f>
        <v/>
      </c>
      <c r="J12" s="15">
        <f>INT(I18*J8)</f>
        <v/>
      </c>
      <c r="K12" s="15">
        <f>INT(J18*K8)</f>
        <v/>
      </c>
      <c r="L12" s="15">
        <f>INT(K18*L8)</f>
        <v/>
      </c>
      <c r="M12" s="15">
        <f>INT(L18*M8)</f>
        <v/>
      </c>
      <c r="N12" s="15">
        <f>INT(M18*N8)</f>
        <v/>
      </c>
      <c r="O12" s="15">
        <f>INT(N18*O8)</f>
        <v/>
      </c>
      <c r="P12" s="15">
        <f>INT(O18*P8)</f>
        <v/>
      </c>
      <c r="Q12" s="15">
        <f>INT(P18*Q8)</f>
        <v/>
      </c>
      <c r="R12" s="15">
        <f>INT(Q18*R8)</f>
        <v/>
      </c>
      <c r="S12" s="15">
        <f>INT(R18*S8)</f>
        <v/>
      </c>
      <c r="T12" s="15">
        <f>INT(S18*T8)</f>
        <v/>
      </c>
      <c r="U12" s="15">
        <f>INT(T18*U8)</f>
        <v/>
      </c>
      <c r="V12" s="15">
        <f>INT(U18*V8)</f>
        <v/>
      </c>
      <c r="W12" s="15">
        <f>INT(V18*W8)</f>
        <v/>
      </c>
      <c r="X12" s="15">
        <f>INT(W18*X8)</f>
        <v/>
      </c>
      <c r="Y12" s="15">
        <f>INT(X18*Y8)</f>
        <v/>
      </c>
    </row>
    <row r="13">
      <c r="A13" s="3" t="inlineStr">
        <is>
          <t>Churned Commissioner Users</t>
        </is>
      </c>
      <c r="B13" s="15">
        <f>INT(0*B9)</f>
        <v/>
      </c>
      <c r="C13" s="15">
        <f>INT(B19*C9)</f>
        <v/>
      </c>
      <c r="D13" s="15">
        <f>INT(C19*D9)</f>
        <v/>
      </c>
      <c r="E13" s="15">
        <f>INT(D19*E9)</f>
        <v/>
      </c>
      <c r="F13" s="15">
        <f>INT(E19*F9)</f>
        <v/>
      </c>
      <c r="G13" s="15">
        <f>INT(F19*G9)</f>
        <v/>
      </c>
      <c r="H13" s="15">
        <f>INT(G19*H9)</f>
        <v/>
      </c>
      <c r="I13" s="15">
        <f>INT(H19*I9)</f>
        <v/>
      </c>
      <c r="J13" s="15">
        <f>INT(I19*J9)</f>
        <v/>
      </c>
      <c r="K13" s="15">
        <f>INT(J19*K9)</f>
        <v/>
      </c>
      <c r="L13" s="15">
        <f>INT(K19*L9)</f>
        <v/>
      </c>
      <c r="M13" s="15">
        <f>INT(L19*M9)</f>
        <v/>
      </c>
      <c r="N13" s="15">
        <f>INT(M19*N9)</f>
        <v/>
      </c>
      <c r="O13" s="15">
        <f>INT(N19*O9)</f>
        <v/>
      </c>
      <c r="P13" s="15">
        <f>INT(O19*P9)</f>
        <v/>
      </c>
      <c r="Q13" s="15">
        <f>INT(P19*Q9)</f>
        <v/>
      </c>
      <c r="R13" s="15">
        <f>INT(Q19*R9)</f>
        <v/>
      </c>
      <c r="S13" s="15">
        <f>INT(R19*S9)</f>
        <v/>
      </c>
      <c r="T13" s="15">
        <f>INT(S19*T9)</f>
        <v/>
      </c>
      <c r="U13" s="15">
        <f>INT(T19*U9)</f>
        <v/>
      </c>
      <c r="V13" s="15">
        <f>INT(U19*V9)</f>
        <v/>
      </c>
      <c r="W13" s="15">
        <f>INT(V19*W9)</f>
        <v/>
      </c>
      <c r="X13" s="15">
        <f>INT(W19*X9)</f>
        <v/>
      </c>
      <c r="Y13" s="15">
        <f>INT(X19*Y9)</f>
        <v/>
      </c>
    </row>
    <row r="14">
      <c r="A14" s="3" t="inlineStr">
        <is>
          <t>Conversions to Pro</t>
        </is>
      </c>
      <c r="B14" s="15">
        <f>INT(0*B5)</f>
        <v/>
      </c>
      <c r="C14" s="15">
        <f>INT(B17*C5)</f>
        <v/>
      </c>
      <c r="D14" s="15">
        <f>INT(C17*D5)</f>
        <v/>
      </c>
      <c r="E14" s="15">
        <f>INT(D17*E5)</f>
        <v/>
      </c>
      <c r="F14" s="15">
        <f>INT(E17*F5)</f>
        <v/>
      </c>
      <c r="G14" s="15">
        <f>INT(F17*G5)</f>
        <v/>
      </c>
      <c r="H14" s="15">
        <f>INT(G17*H5)</f>
        <v/>
      </c>
      <c r="I14" s="15">
        <f>INT(H17*I5)</f>
        <v/>
      </c>
      <c r="J14" s="15">
        <f>INT(I17*J5)</f>
        <v/>
      </c>
      <c r="K14" s="15">
        <f>INT(J17*K5)</f>
        <v/>
      </c>
      <c r="L14" s="15">
        <f>INT(K17*L5)</f>
        <v/>
      </c>
      <c r="M14" s="15">
        <f>INT(L17*M5)</f>
        <v/>
      </c>
      <c r="N14" s="15">
        <f>INT(M17*N5)</f>
        <v/>
      </c>
      <c r="O14" s="15">
        <f>INT(N17*O5)</f>
        <v/>
      </c>
      <c r="P14" s="15">
        <f>INT(O17*P5)</f>
        <v/>
      </c>
      <c r="Q14" s="15">
        <f>INT(P17*Q5)</f>
        <v/>
      </c>
      <c r="R14" s="15">
        <f>INT(Q17*R5)</f>
        <v/>
      </c>
      <c r="S14" s="15">
        <f>INT(R17*S5)</f>
        <v/>
      </c>
      <c r="T14" s="15">
        <f>INT(S17*T5)</f>
        <v/>
      </c>
      <c r="U14" s="15">
        <f>INT(T17*U5)</f>
        <v/>
      </c>
      <c r="V14" s="15">
        <f>INT(U17*V5)</f>
        <v/>
      </c>
      <c r="W14" s="15">
        <f>INT(V17*W5)</f>
        <v/>
      </c>
      <c r="X14" s="15">
        <f>INT(W17*X5)</f>
        <v/>
      </c>
      <c r="Y14" s="15">
        <f>INT(X17*Y5)</f>
        <v/>
      </c>
    </row>
    <row r="15">
      <c r="A15" s="3" t="inlineStr">
        <is>
          <t>Conversions to Commissioner</t>
        </is>
      </c>
      <c r="B15" s="15">
        <f>INT(0*B6)</f>
        <v/>
      </c>
      <c r="C15" s="15">
        <f>INT(B17*C6)</f>
        <v/>
      </c>
      <c r="D15" s="15">
        <f>INT(C17*D6)</f>
        <v/>
      </c>
      <c r="E15" s="15">
        <f>INT(D17*E6)</f>
        <v/>
      </c>
      <c r="F15" s="15">
        <f>INT(E17*F6)</f>
        <v/>
      </c>
      <c r="G15" s="15">
        <f>INT(F17*G6)</f>
        <v/>
      </c>
      <c r="H15" s="15">
        <f>INT(G17*H6)</f>
        <v/>
      </c>
      <c r="I15" s="15">
        <f>INT(H17*I6)</f>
        <v/>
      </c>
      <c r="J15" s="15">
        <f>INT(I17*J6)</f>
        <v/>
      </c>
      <c r="K15" s="15">
        <f>INT(J17*K6)</f>
        <v/>
      </c>
      <c r="L15" s="15">
        <f>INT(K17*L6)</f>
        <v/>
      </c>
      <c r="M15" s="15">
        <f>INT(L17*M6)</f>
        <v/>
      </c>
      <c r="N15" s="15">
        <f>INT(M17*N6)</f>
        <v/>
      </c>
      <c r="O15" s="15">
        <f>INT(N17*O6)</f>
        <v/>
      </c>
      <c r="P15" s="15">
        <f>INT(O17*P6)</f>
        <v/>
      </c>
      <c r="Q15" s="15">
        <f>INT(P17*Q6)</f>
        <v/>
      </c>
      <c r="R15" s="15">
        <f>INT(Q17*R6)</f>
        <v/>
      </c>
      <c r="S15" s="15">
        <f>INT(R17*S6)</f>
        <v/>
      </c>
      <c r="T15" s="15">
        <f>INT(S17*T6)</f>
        <v/>
      </c>
      <c r="U15" s="15">
        <f>INT(T17*U6)</f>
        <v/>
      </c>
      <c r="V15" s="15">
        <f>INT(U17*V6)</f>
        <v/>
      </c>
      <c r="W15" s="15">
        <f>INT(V17*W6)</f>
        <v/>
      </c>
      <c r="X15" s="15">
        <f>INT(W17*X6)</f>
        <v/>
      </c>
      <c r="Y15" s="15">
        <f>INT(X17*Y6)</f>
        <v/>
      </c>
    </row>
    <row r="17">
      <c r="A17" s="3" t="inlineStr">
        <is>
          <t>End-of-Month Free Users</t>
        </is>
      </c>
      <c r="B17" s="15">
        <f>MAX(0,0+B3-B11-B14-B15)</f>
        <v/>
      </c>
      <c r="C17" s="15">
        <f>MAX(0,B17+C3-C11-C14-C15)</f>
        <v/>
      </c>
      <c r="D17" s="15">
        <f>MAX(0,C17+D3-D11-D14-D15)</f>
        <v/>
      </c>
      <c r="E17" s="15">
        <f>MAX(0,D17+E3-E11-E14-E15)</f>
        <v/>
      </c>
      <c r="F17" s="15">
        <f>MAX(0,E17+F3-F11-F14-F15)</f>
        <v/>
      </c>
      <c r="G17" s="15">
        <f>MAX(0,F17+G3-G11-G14-G15)</f>
        <v/>
      </c>
      <c r="H17" s="15">
        <f>MAX(0,G17+H3-H11-H14-H15)</f>
        <v/>
      </c>
      <c r="I17" s="15">
        <f>MAX(0,H17+I3-I11-I14-I15)</f>
        <v/>
      </c>
      <c r="J17" s="15">
        <f>MAX(0,I17+J3-J11-J14-J15)</f>
        <v/>
      </c>
      <c r="K17" s="15">
        <f>MAX(0,J17+K3-K11-K14-K15)</f>
        <v/>
      </c>
      <c r="L17" s="15">
        <f>MAX(0,K17+L3-L11-L14-L15)</f>
        <v/>
      </c>
      <c r="M17" s="15">
        <f>MAX(0,L17+M3-M11-M14-M15)</f>
        <v/>
      </c>
      <c r="N17" s="15">
        <f>MAX(0,M17+N3-N11-N14-N15)</f>
        <v/>
      </c>
      <c r="O17" s="15">
        <f>MAX(0,N17+O3-O11-O14-O15)</f>
        <v/>
      </c>
      <c r="P17" s="15">
        <f>MAX(0,O17+P3-P11-P14-P15)</f>
        <v/>
      </c>
      <c r="Q17" s="15">
        <f>MAX(0,P17+Q3-Q11-Q14-Q15)</f>
        <v/>
      </c>
      <c r="R17" s="15">
        <f>MAX(0,Q17+R3-R11-R14-R15)</f>
        <v/>
      </c>
      <c r="S17" s="15">
        <f>MAX(0,R17+S3-S11-S14-S15)</f>
        <v/>
      </c>
      <c r="T17" s="15">
        <f>MAX(0,S17+T3-T11-T14-T15)</f>
        <v/>
      </c>
      <c r="U17" s="15">
        <f>MAX(0,T17+U3-U11-U14-U15)</f>
        <v/>
      </c>
      <c r="V17" s="15">
        <f>MAX(0,U17+V3-V11-V14-V15)</f>
        <v/>
      </c>
      <c r="W17" s="15">
        <f>MAX(0,V17+W3-W11-W14-W15)</f>
        <v/>
      </c>
      <c r="X17" s="15">
        <f>MAX(0,W17+X3-X11-X14-X15)</f>
        <v/>
      </c>
      <c r="Y17" s="15">
        <f>MAX(0,X17+Y3-Y11-Y14-Y15)</f>
        <v/>
      </c>
    </row>
    <row r="18">
      <c r="A18" s="3" t="inlineStr">
        <is>
          <t>End-of-Month Pro Users</t>
        </is>
      </c>
      <c r="B18" s="15">
        <f>MAX(0,0+B14-B12)</f>
        <v/>
      </c>
      <c r="C18" s="15">
        <f>MAX(0,B18+C14-C12)</f>
        <v/>
      </c>
      <c r="D18" s="15">
        <f>MAX(0,C18+D14-D12)</f>
        <v/>
      </c>
      <c r="E18" s="15">
        <f>MAX(0,D18+E14-E12)</f>
        <v/>
      </c>
      <c r="F18" s="15">
        <f>MAX(0,E18+F14-F12)</f>
        <v/>
      </c>
      <c r="G18" s="15">
        <f>MAX(0,F18+G14-G12)</f>
        <v/>
      </c>
      <c r="H18" s="15">
        <f>MAX(0,G18+H14-H12)</f>
        <v/>
      </c>
      <c r="I18" s="15">
        <f>MAX(0,H18+I14-I12)</f>
        <v/>
      </c>
      <c r="J18" s="15">
        <f>MAX(0,I18+J14-J12)</f>
        <v/>
      </c>
      <c r="K18" s="15">
        <f>MAX(0,J18+K14-K12)</f>
        <v/>
      </c>
      <c r="L18" s="15">
        <f>MAX(0,K18+L14-L12)</f>
        <v/>
      </c>
      <c r="M18" s="15">
        <f>MAX(0,L18+M14-M12)</f>
        <v/>
      </c>
      <c r="N18" s="15">
        <f>MAX(0,M18+N14-N12)</f>
        <v/>
      </c>
      <c r="O18" s="15">
        <f>MAX(0,N18+O14-O12)</f>
        <v/>
      </c>
      <c r="P18" s="15">
        <f>MAX(0,O18+P14-P12)</f>
        <v/>
      </c>
      <c r="Q18" s="15">
        <f>MAX(0,P18+Q14-Q12)</f>
        <v/>
      </c>
      <c r="R18" s="15">
        <f>MAX(0,Q18+R14-R12)</f>
        <v/>
      </c>
      <c r="S18" s="15">
        <f>MAX(0,R18+S14-S12)</f>
        <v/>
      </c>
      <c r="T18" s="15">
        <f>MAX(0,S18+T14-T12)</f>
        <v/>
      </c>
      <c r="U18" s="15">
        <f>MAX(0,T18+U14-U12)</f>
        <v/>
      </c>
      <c r="V18" s="15">
        <f>MAX(0,U18+V14-V12)</f>
        <v/>
      </c>
      <c r="W18" s="15">
        <f>MAX(0,V18+W14-W12)</f>
        <v/>
      </c>
      <c r="X18" s="15">
        <f>MAX(0,W18+X14-X12)</f>
        <v/>
      </c>
      <c r="Y18" s="15">
        <f>MAX(0,X18+Y14-Y12)</f>
        <v/>
      </c>
    </row>
    <row r="19">
      <c r="A19" s="3" t="inlineStr">
        <is>
          <t>End-of-Month Commissioner Users</t>
        </is>
      </c>
      <c r="B19" s="15">
        <f>MAX(0,0+B15-B13)</f>
        <v/>
      </c>
      <c r="C19" s="15">
        <f>MAX(0,B19+C15-C13)</f>
        <v/>
      </c>
      <c r="D19" s="15">
        <f>MAX(0,C19+D15-D13)</f>
        <v/>
      </c>
      <c r="E19" s="15">
        <f>MAX(0,D19+E15-E13)</f>
        <v/>
      </c>
      <c r="F19" s="15">
        <f>MAX(0,E19+F15-F13)</f>
        <v/>
      </c>
      <c r="G19" s="15">
        <f>MAX(0,F19+G15-G13)</f>
        <v/>
      </c>
      <c r="H19" s="15">
        <f>MAX(0,G19+H15-H13)</f>
        <v/>
      </c>
      <c r="I19" s="15">
        <f>MAX(0,H19+I15-I13)</f>
        <v/>
      </c>
      <c r="J19" s="15">
        <f>MAX(0,I19+J15-J13)</f>
        <v/>
      </c>
      <c r="K19" s="15">
        <f>MAX(0,J19+K15-K13)</f>
        <v/>
      </c>
      <c r="L19" s="15">
        <f>MAX(0,K19+L15-L13)</f>
        <v/>
      </c>
      <c r="M19" s="15">
        <f>MAX(0,L19+M15-M13)</f>
        <v/>
      </c>
      <c r="N19" s="15">
        <f>MAX(0,M19+N15-N13)</f>
        <v/>
      </c>
      <c r="O19" s="15">
        <f>MAX(0,N19+O15-O13)</f>
        <v/>
      </c>
      <c r="P19" s="15">
        <f>MAX(0,O19+P15-P13)</f>
        <v/>
      </c>
      <c r="Q19" s="15">
        <f>MAX(0,P19+Q15-Q13)</f>
        <v/>
      </c>
      <c r="R19" s="15">
        <f>MAX(0,Q19+R15-R13)</f>
        <v/>
      </c>
      <c r="S19" s="15">
        <f>MAX(0,R19+S15-S13)</f>
        <v/>
      </c>
      <c r="T19" s="15">
        <f>MAX(0,S19+T15-T13)</f>
        <v/>
      </c>
      <c r="U19" s="15">
        <f>MAX(0,T19+U15-U13)</f>
        <v/>
      </c>
      <c r="V19" s="15">
        <f>MAX(0,U19+V15-V13)</f>
        <v/>
      </c>
      <c r="W19" s="15">
        <f>MAX(0,V19+W15-W13)</f>
        <v/>
      </c>
      <c r="X19" s="15">
        <f>MAX(0,W19+X15-X13)</f>
        <v/>
      </c>
      <c r="Y19" s="15">
        <f>MAX(0,X19+Y15-Y13)</f>
        <v/>
      </c>
    </row>
    <row r="20">
      <c r="A20" s="17" t="inlineStr">
        <is>
          <t>End-of-Month TOTAL Users</t>
        </is>
      </c>
      <c r="B20" s="18">
        <f>B17+B18+B19</f>
        <v/>
      </c>
      <c r="C20" s="18">
        <f>C17+C18+C19</f>
        <v/>
      </c>
      <c r="D20" s="18">
        <f>D17+D18+D19</f>
        <v/>
      </c>
      <c r="E20" s="18">
        <f>E17+E18+E19</f>
        <v/>
      </c>
      <c r="F20" s="18">
        <f>F17+F18+F19</f>
        <v/>
      </c>
      <c r="G20" s="18">
        <f>G17+G18+G19</f>
        <v/>
      </c>
      <c r="H20" s="18">
        <f>H17+H18+H19</f>
        <v/>
      </c>
      <c r="I20" s="18">
        <f>I17+I18+I19</f>
        <v/>
      </c>
      <c r="J20" s="18">
        <f>J17+J18+J19</f>
        <v/>
      </c>
      <c r="K20" s="18">
        <f>K17+K18+K19</f>
        <v/>
      </c>
      <c r="L20" s="18">
        <f>L17+L18+L19</f>
        <v/>
      </c>
      <c r="M20" s="18">
        <f>M17+M18+M19</f>
        <v/>
      </c>
      <c r="N20" s="18">
        <f>N17+N18+N19</f>
        <v/>
      </c>
      <c r="O20" s="18">
        <f>O17+O18+O19</f>
        <v/>
      </c>
      <c r="P20" s="18">
        <f>P17+P18+P19</f>
        <v/>
      </c>
      <c r="Q20" s="18">
        <f>Q17+Q18+Q19</f>
        <v/>
      </c>
      <c r="R20" s="18">
        <f>R17+R18+R19</f>
        <v/>
      </c>
      <c r="S20" s="18">
        <f>S17+S18+S19</f>
        <v/>
      </c>
      <c r="T20" s="18">
        <f>T17+T18+T19</f>
        <v/>
      </c>
      <c r="U20" s="18">
        <f>U17+U18+U19</f>
        <v/>
      </c>
      <c r="V20" s="18">
        <f>V17+V18+V19</f>
        <v/>
      </c>
      <c r="W20" s="18">
        <f>W17+W18+W19</f>
        <v/>
      </c>
      <c r="X20" s="18">
        <f>X17+X18+X19</f>
        <v/>
      </c>
      <c r="Y20" s="18">
        <f>Y17+Y18+Y19</f>
        <v/>
      </c>
    </row>
    <row r="22">
      <c r="A22" s="3" t="inlineStr">
        <is>
          <t>Premium % of Total</t>
        </is>
      </c>
      <c r="B22" s="16">
        <f>IF(B20&gt;0,(B18+B19)/B20,0)</f>
        <v/>
      </c>
      <c r="C22" s="16">
        <f>IF(C20&gt;0,(C18+C19)/C20,0)</f>
        <v/>
      </c>
      <c r="D22" s="16">
        <f>IF(D20&gt;0,(D18+D19)/D20,0)</f>
        <v/>
      </c>
      <c r="E22" s="16">
        <f>IF(E20&gt;0,(E18+E19)/E20,0)</f>
        <v/>
      </c>
      <c r="F22" s="16">
        <f>IF(F20&gt;0,(F18+F19)/F20,0)</f>
        <v/>
      </c>
      <c r="G22" s="16">
        <f>IF(G20&gt;0,(G18+G19)/G20,0)</f>
        <v/>
      </c>
      <c r="H22" s="16">
        <f>IF(H20&gt;0,(H18+H19)/H20,0)</f>
        <v/>
      </c>
      <c r="I22" s="16">
        <f>IF(I20&gt;0,(I18+I19)/I20,0)</f>
        <v/>
      </c>
      <c r="J22" s="16">
        <f>IF(J20&gt;0,(J18+J19)/J20,0)</f>
        <v/>
      </c>
      <c r="K22" s="16">
        <f>IF(K20&gt;0,(K18+K19)/K20,0)</f>
        <v/>
      </c>
      <c r="L22" s="16">
        <f>IF(L20&gt;0,(L18+L19)/L20,0)</f>
        <v/>
      </c>
      <c r="M22" s="16">
        <f>IF(M20&gt;0,(M18+M19)/M20,0)</f>
        <v/>
      </c>
      <c r="N22" s="16">
        <f>IF(N20&gt;0,(N18+N19)/N20,0)</f>
        <v/>
      </c>
      <c r="O22" s="16">
        <f>IF(O20&gt;0,(O18+O19)/O20,0)</f>
        <v/>
      </c>
      <c r="P22" s="16">
        <f>IF(P20&gt;0,(P18+P19)/P20,0)</f>
        <v/>
      </c>
      <c r="Q22" s="16">
        <f>IF(Q20&gt;0,(Q18+Q19)/Q20,0)</f>
        <v/>
      </c>
      <c r="R22" s="16">
        <f>IF(R20&gt;0,(R18+R19)/R20,0)</f>
        <v/>
      </c>
      <c r="S22" s="16">
        <f>IF(S20&gt;0,(S18+S19)/S20,0)</f>
        <v/>
      </c>
      <c r="T22" s="16">
        <f>IF(T20&gt;0,(T18+T19)/T20,0)</f>
        <v/>
      </c>
      <c r="U22" s="16">
        <f>IF(U20&gt;0,(U18+U19)/U20,0)</f>
        <v/>
      </c>
      <c r="V22" s="16">
        <f>IF(V20&gt;0,(V18+V19)/V20,0)</f>
        <v/>
      </c>
      <c r="W22" s="16">
        <f>IF(W20&gt;0,(W18+W19)/W20,0)</f>
        <v/>
      </c>
      <c r="X22" s="16">
        <f>IF(X20&gt;0,(X18+X19)/X20,0)</f>
        <v/>
      </c>
      <c r="Y22" s="16">
        <f>IF(Y20&gt;0,(Y18+Y19)/Y20,0)</f>
        <v/>
      </c>
    </row>
    <row r="23">
      <c r="A23" s="3" t="inlineStr">
        <is>
          <t>Blended Monthly Churn Rate</t>
        </is>
      </c>
      <c r="B23" s="16">
        <f>IF(B20+B11+B12+B13&gt;0,(B11+B12+B13)/(B20+B11+B12+B13),0)</f>
        <v/>
      </c>
      <c r="C23" s="16">
        <f>IF(C20+C11+C12+C13&gt;0,(C11+C12+C13)/(C20+C11+C12+C13),0)</f>
        <v/>
      </c>
      <c r="D23" s="16">
        <f>IF(D20+D11+D12+D13&gt;0,(D11+D12+D13)/(D20+D11+D12+D13),0)</f>
        <v/>
      </c>
      <c r="E23" s="16">
        <f>IF(E20+E11+E12+E13&gt;0,(E11+E12+E13)/(E20+E11+E12+E13),0)</f>
        <v/>
      </c>
      <c r="F23" s="16">
        <f>IF(F20+F11+F12+F13&gt;0,(F11+F12+F13)/(F20+F11+F12+F13),0)</f>
        <v/>
      </c>
      <c r="G23" s="16">
        <f>IF(G20+G11+G12+G13&gt;0,(G11+G12+G13)/(G20+G11+G12+G13),0)</f>
        <v/>
      </c>
      <c r="H23" s="16">
        <f>IF(H20+H11+H12+H13&gt;0,(H11+H12+H13)/(H20+H11+H12+H13),0)</f>
        <v/>
      </c>
      <c r="I23" s="16">
        <f>IF(I20+I11+I12+I13&gt;0,(I11+I12+I13)/(I20+I11+I12+I13),0)</f>
        <v/>
      </c>
      <c r="J23" s="16">
        <f>IF(J20+J11+J12+J13&gt;0,(J11+J12+J13)/(J20+J11+J12+J13),0)</f>
        <v/>
      </c>
      <c r="K23" s="16">
        <f>IF(K20+K11+K12+K13&gt;0,(K11+K12+K13)/(K20+K11+K12+K13),0)</f>
        <v/>
      </c>
      <c r="L23" s="16">
        <f>IF(L20+L11+L12+L13&gt;0,(L11+L12+L13)/(L20+L11+L12+L13),0)</f>
        <v/>
      </c>
      <c r="M23" s="16">
        <f>IF(M20+M11+M12+M13&gt;0,(M11+M12+M13)/(M20+M11+M12+M13),0)</f>
        <v/>
      </c>
      <c r="N23" s="16">
        <f>IF(N20+N11+N12+N13&gt;0,(N11+N12+N13)/(N20+N11+N12+N13),0)</f>
        <v/>
      </c>
      <c r="O23" s="16">
        <f>IF(O20+O11+O12+O13&gt;0,(O11+O12+O13)/(O20+O11+O12+O13),0)</f>
        <v/>
      </c>
      <c r="P23" s="16">
        <f>IF(P20+P11+P12+P13&gt;0,(P11+P12+P13)/(P20+P11+P12+P13),0)</f>
        <v/>
      </c>
      <c r="Q23" s="16">
        <f>IF(Q20+Q11+Q12+Q13&gt;0,(Q11+Q12+Q13)/(Q20+Q11+Q12+Q13),0)</f>
        <v/>
      </c>
      <c r="R23" s="16">
        <f>IF(R20+R11+R12+R13&gt;0,(R11+R12+R13)/(R20+R11+R12+R13),0)</f>
        <v/>
      </c>
      <c r="S23" s="16">
        <f>IF(S20+S11+S12+S13&gt;0,(S11+S12+S13)/(S20+S11+S12+S13),0)</f>
        <v/>
      </c>
      <c r="T23" s="16">
        <f>IF(T20+T11+T12+T13&gt;0,(T11+T12+T13)/(T20+T11+T12+T13),0)</f>
        <v/>
      </c>
      <c r="U23" s="16">
        <f>IF(U20+U11+U12+U13&gt;0,(U11+U12+U13)/(U20+U11+U12+U13),0)</f>
        <v/>
      </c>
      <c r="V23" s="16">
        <f>IF(V20+V11+V12+V13&gt;0,(V11+V12+V13)/(V20+V11+V12+V13),0)</f>
        <v/>
      </c>
      <c r="W23" s="16">
        <f>IF(W20+W11+W12+W13&gt;0,(W11+W12+W13)/(W20+W11+W12+W13),0)</f>
        <v/>
      </c>
      <c r="X23" s="16">
        <f>IF(X20+X11+X12+X13&gt;0,(X11+X12+X13)/(X20+X11+X12+X13),0)</f>
        <v/>
      </c>
      <c r="Y23" s="16">
        <f>IF(Y20+Y11+Y12+Y13&gt;0,(Y11+Y12+Y13)/(Y20+Y11+Y12+Y13),0)</f>
        <v/>
      </c>
    </row>
    <row r="24">
      <c r="A24" s="3" t="inlineStr">
        <is>
          <t>Monthly Retention Rate</t>
        </is>
      </c>
      <c r="B24" s="16">
        <f>1-B23</f>
        <v/>
      </c>
      <c r="C24" s="16">
        <f>1-C23</f>
        <v/>
      </c>
      <c r="D24" s="16">
        <f>1-D23</f>
        <v/>
      </c>
      <c r="E24" s="16">
        <f>1-E23</f>
        <v/>
      </c>
      <c r="F24" s="16">
        <f>1-F23</f>
        <v/>
      </c>
      <c r="G24" s="16">
        <f>1-G23</f>
        <v/>
      </c>
      <c r="H24" s="16">
        <f>1-H23</f>
        <v/>
      </c>
      <c r="I24" s="16">
        <f>1-I23</f>
        <v/>
      </c>
      <c r="J24" s="16">
        <f>1-J23</f>
        <v/>
      </c>
      <c r="K24" s="16">
        <f>1-K23</f>
        <v/>
      </c>
      <c r="L24" s="16">
        <f>1-L23</f>
        <v/>
      </c>
      <c r="M24" s="16">
        <f>1-M23</f>
        <v/>
      </c>
      <c r="N24" s="16">
        <f>1-N23</f>
        <v/>
      </c>
      <c r="O24" s="16">
        <f>1-O23</f>
        <v/>
      </c>
      <c r="P24" s="16">
        <f>1-P23</f>
        <v/>
      </c>
      <c r="Q24" s="16">
        <f>1-Q23</f>
        <v/>
      </c>
      <c r="R24" s="16">
        <f>1-R23</f>
        <v/>
      </c>
      <c r="S24" s="16">
        <f>1-S23</f>
        <v/>
      </c>
      <c r="T24" s="16">
        <f>1-T23</f>
        <v/>
      </c>
      <c r="U24" s="16">
        <f>1-U23</f>
        <v/>
      </c>
      <c r="V24" s="16">
        <f>1-V23</f>
        <v/>
      </c>
      <c r="W24" s="16">
        <f>1-W23</f>
        <v/>
      </c>
      <c r="X24" s="16">
        <f>1-X23</f>
        <v/>
      </c>
      <c r="Y24" s="16">
        <f>1-Y23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Revenue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SUBSCRIPTION REVENUE</t>
        </is>
      </c>
    </row>
    <row r="3">
      <c r="A3" s="3" t="inlineStr">
        <is>
          <t xml:space="preserve">  Pro Monthly Billing</t>
        </is>
      </c>
      <c r="B3" s="15">
        <f>'User Growth'!B18*Assumptions!$B$7*Assumptions!$B$3</f>
        <v/>
      </c>
      <c r="C3" s="15">
        <f>'User Growth'!C18*Assumptions!$B$7*Assumptions!$B$3</f>
        <v/>
      </c>
      <c r="D3" s="15">
        <f>'User Growth'!D18*Assumptions!$B$7*Assumptions!$B$3</f>
        <v/>
      </c>
      <c r="E3" s="15">
        <f>'User Growth'!E18*Assumptions!$B$7*Assumptions!$B$3</f>
        <v/>
      </c>
      <c r="F3" s="15">
        <f>'User Growth'!F18*Assumptions!$B$7*Assumptions!$B$3</f>
        <v/>
      </c>
      <c r="G3" s="15">
        <f>'User Growth'!G18*Assumptions!$B$7*Assumptions!$B$3</f>
        <v/>
      </c>
      <c r="H3" s="15">
        <f>'User Growth'!H18*Assumptions!$B$7*Assumptions!$B$3</f>
        <v/>
      </c>
      <c r="I3" s="15">
        <f>'User Growth'!I18*Assumptions!$B$7*Assumptions!$B$3</f>
        <v/>
      </c>
      <c r="J3" s="15">
        <f>'User Growth'!J18*Assumptions!$B$7*Assumptions!$B$3</f>
        <v/>
      </c>
      <c r="K3" s="15">
        <f>'User Growth'!K18*Assumptions!$B$7*Assumptions!$B$3</f>
        <v/>
      </c>
      <c r="L3" s="15">
        <f>'User Growth'!L18*Assumptions!$B$7*Assumptions!$B$3</f>
        <v/>
      </c>
      <c r="M3" s="15">
        <f>'User Growth'!M18*Assumptions!$B$7*Assumptions!$B$3</f>
        <v/>
      </c>
      <c r="N3" s="15">
        <f>'User Growth'!N18*Assumptions!$B$7*Assumptions!$B$3</f>
        <v/>
      </c>
      <c r="O3" s="15">
        <f>'User Growth'!O18*Assumptions!$B$7*Assumptions!$B$3</f>
        <v/>
      </c>
      <c r="P3" s="15">
        <f>'User Growth'!P18*Assumptions!$B$7*Assumptions!$B$3</f>
        <v/>
      </c>
      <c r="Q3" s="15">
        <f>'User Growth'!Q18*Assumptions!$B$7*Assumptions!$B$3</f>
        <v/>
      </c>
      <c r="R3" s="15">
        <f>'User Growth'!R18*Assumptions!$B$7*Assumptions!$B$3</f>
        <v/>
      </c>
      <c r="S3" s="15">
        <f>'User Growth'!S18*Assumptions!$B$7*Assumptions!$B$3</f>
        <v/>
      </c>
      <c r="T3" s="15">
        <f>'User Growth'!T18*Assumptions!$B$7*Assumptions!$B$3</f>
        <v/>
      </c>
      <c r="U3" s="15">
        <f>'User Growth'!U18*Assumptions!$B$7*Assumptions!$B$3</f>
        <v/>
      </c>
      <c r="V3" s="15">
        <f>'User Growth'!V18*Assumptions!$B$7*Assumptions!$B$3</f>
        <v/>
      </c>
      <c r="W3" s="15">
        <f>'User Growth'!W18*Assumptions!$B$7*Assumptions!$B$3</f>
        <v/>
      </c>
      <c r="X3" s="15">
        <f>'User Growth'!X18*Assumptions!$B$7*Assumptions!$B$3</f>
        <v/>
      </c>
      <c r="Y3" s="15">
        <f>'User Growth'!Y18*Assumptions!$B$7*Assumptions!$B$3</f>
        <v/>
      </c>
    </row>
    <row r="4">
      <c r="A4" s="3" t="inlineStr">
        <is>
          <t xml:space="preserve">  Pro Annual Billing</t>
        </is>
      </c>
      <c r="B4" s="15">
        <f>'User Growth'!B18*Assumptions!$B$6*Assumptions!$B$3</f>
        <v/>
      </c>
      <c r="C4" s="15">
        <f>'User Growth'!C18*Assumptions!$B$6*Assumptions!$B$3</f>
        <v/>
      </c>
      <c r="D4" s="15">
        <f>'User Growth'!D18*Assumptions!$B$6*Assumptions!$B$3</f>
        <v/>
      </c>
      <c r="E4" s="15">
        <f>'User Growth'!E18*Assumptions!$B$6*Assumptions!$B$3</f>
        <v/>
      </c>
      <c r="F4" s="15">
        <f>'User Growth'!F18*Assumptions!$B$6*Assumptions!$B$3</f>
        <v/>
      </c>
      <c r="G4" s="15">
        <f>'User Growth'!G18*Assumptions!$B$6*Assumptions!$B$3</f>
        <v/>
      </c>
      <c r="H4" s="15">
        <f>'User Growth'!H18*Assumptions!$B$6*Assumptions!$B$3</f>
        <v/>
      </c>
      <c r="I4" s="15">
        <f>'User Growth'!I18*Assumptions!$B$6*Assumptions!$B$3</f>
        <v/>
      </c>
      <c r="J4" s="15">
        <f>'User Growth'!J18*Assumptions!$B$6*Assumptions!$B$3</f>
        <v/>
      </c>
      <c r="K4" s="15">
        <f>'User Growth'!K18*Assumptions!$B$6*Assumptions!$B$3</f>
        <v/>
      </c>
      <c r="L4" s="15">
        <f>'User Growth'!L18*Assumptions!$B$6*Assumptions!$B$3</f>
        <v/>
      </c>
      <c r="M4" s="15">
        <f>'User Growth'!M18*Assumptions!$B$6*Assumptions!$B$3</f>
        <v/>
      </c>
      <c r="N4" s="15">
        <f>'User Growth'!N18*Assumptions!$B$6*Assumptions!$B$3</f>
        <v/>
      </c>
      <c r="O4" s="15">
        <f>'User Growth'!O18*Assumptions!$B$6*Assumptions!$B$3</f>
        <v/>
      </c>
      <c r="P4" s="15">
        <f>'User Growth'!P18*Assumptions!$B$6*Assumptions!$B$3</f>
        <v/>
      </c>
      <c r="Q4" s="15">
        <f>'User Growth'!Q18*Assumptions!$B$6*Assumptions!$B$3</f>
        <v/>
      </c>
      <c r="R4" s="15">
        <f>'User Growth'!R18*Assumptions!$B$6*Assumptions!$B$3</f>
        <v/>
      </c>
      <c r="S4" s="15">
        <f>'User Growth'!S18*Assumptions!$B$6*Assumptions!$B$3</f>
        <v/>
      </c>
      <c r="T4" s="15">
        <f>'User Growth'!T18*Assumptions!$B$6*Assumptions!$B$3</f>
        <v/>
      </c>
      <c r="U4" s="15">
        <f>'User Growth'!U18*Assumptions!$B$6*Assumptions!$B$3</f>
        <v/>
      </c>
      <c r="V4" s="15">
        <f>'User Growth'!V18*Assumptions!$B$6*Assumptions!$B$3</f>
        <v/>
      </c>
      <c r="W4" s="15">
        <f>'User Growth'!W18*Assumptions!$B$6*Assumptions!$B$3</f>
        <v/>
      </c>
      <c r="X4" s="15">
        <f>'User Growth'!X18*Assumptions!$B$6*Assumptions!$B$3</f>
        <v/>
      </c>
      <c r="Y4" s="15">
        <f>'User Growth'!Y18*Assumptions!$B$6*Assumptions!$B$3</f>
        <v/>
      </c>
    </row>
    <row r="5">
      <c r="A5" s="3" t="inlineStr">
        <is>
          <t xml:space="preserve">  Commissioner Monthly Billing</t>
        </is>
      </c>
      <c r="B5" s="15">
        <f>'User Growth'!B19*Assumptions!$B$7*Assumptions!$B$4</f>
        <v/>
      </c>
      <c r="C5" s="15">
        <f>'User Growth'!C19*Assumptions!$B$7*Assumptions!$B$4</f>
        <v/>
      </c>
      <c r="D5" s="15">
        <f>'User Growth'!D19*Assumptions!$B$7*Assumptions!$B$4</f>
        <v/>
      </c>
      <c r="E5" s="15">
        <f>'User Growth'!E19*Assumptions!$B$7*Assumptions!$B$4</f>
        <v/>
      </c>
      <c r="F5" s="15">
        <f>'User Growth'!F19*Assumptions!$B$7*Assumptions!$B$4</f>
        <v/>
      </c>
      <c r="G5" s="15">
        <f>'User Growth'!G19*Assumptions!$B$7*Assumptions!$B$4</f>
        <v/>
      </c>
      <c r="H5" s="15">
        <f>'User Growth'!H19*Assumptions!$B$7*Assumptions!$B$4</f>
        <v/>
      </c>
      <c r="I5" s="15">
        <f>'User Growth'!I19*Assumptions!$B$7*Assumptions!$B$4</f>
        <v/>
      </c>
      <c r="J5" s="15">
        <f>'User Growth'!J19*Assumptions!$B$7*Assumptions!$B$4</f>
        <v/>
      </c>
      <c r="K5" s="15">
        <f>'User Growth'!K19*Assumptions!$B$7*Assumptions!$B$4</f>
        <v/>
      </c>
      <c r="L5" s="15">
        <f>'User Growth'!L19*Assumptions!$B$7*Assumptions!$B$4</f>
        <v/>
      </c>
      <c r="M5" s="15">
        <f>'User Growth'!M19*Assumptions!$B$7*Assumptions!$B$4</f>
        <v/>
      </c>
      <c r="N5" s="15">
        <f>'User Growth'!N19*Assumptions!$B$7*Assumptions!$B$4</f>
        <v/>
      </c>
      <c r="O5" s="15">
        <f>'User Growth'!O19*Assumptions!$B$7*Assumptions!$B$4</f>
        <v/>
      </c>
      <c r="P5" s="15">
        <f>'User Growth'!P19*Assumptions!$B$7*Assumptions!$B$4</f>
        <v/>
      </c>
      <c r="Q5" s="15">
        <f>'User Growth'!Q19*Assumptions!$B$7*Assumptions!$B$4</f>
        <v/>
      </c>
      <c r="R5" s="15">
        <f>'User Growth'!R19*Assumptions!$B$7*Assumptions!$B$4</f>
        <v/>
      </c>
      <c r="S5" s="15">
        <f>'User Growth'!S19*Assumptions!$B$7*Assumptions!$B$4</f>
        <v/>
      </c>
      <c r="T5" s="15">
        <f>'User Growth'!T19*Assumptions!$B$7*Assumptions!$B$4</f>
        <v/>
      </c>
      <c r="U5" s="15">
        <f>'User Growth'!U19*Assumptions!$B$7*Assumptions!$B$4</f>
        <v/>
      </c>
      <c r="V5" s="15">
        <f>'User Growth'!V19*Assumptions!$B$7*Assumptions!$B$4</f>
        <v/>
      </c>
      <c r="W5" s="15">
        <f>'User Growth'!W19*Assumptions!$B$7*Assumptions!$B$4</f>
        <v/>
      </c>
      <c r="X5" s="15">
        <f>'User Growth'!X19*Assumptions!$B$7*Assumptions!$B$4</f>
        <v/>
      </c>
      <c r="Y5" s="15">
        <f>'User Growth'!Y19*Assumptions!$B$7*Assumptions!$B$4</f>
        <v/>
      </c>
    </row>
    <row r="6">
      <c r="A6" s="3" t="inlineStr">
        <is>
          <t xml:space="preserve">  Commissioner Annual Billing</t>
        </is>
      </c>
      <c r="B6" s="15">
        <f>'User Growth'!B19*Assumptions!$B$6*Assumptions!$B$4</f>
        <v/>
      </c>
      <c r="C6" s="15">
        <f>'User Growth'!C19*Assumptions!$B$6*Assumptions!$B$4</f>
        <v/>
      </c>
      <c r="D6" s="15">
        <f>'User Growth'!D19*Assumptions!$B$6*Assumptions!$B$4</f>
        <v/>
      </c>
      <c r="E6" s="15">
        <f>'User Growth'!E19*Assumptions!$B$6*Assumptions!$B$4</f>
        <v/>
      </c>
      <c r="F6" s="15">
        <f>'User Growth'!F19*Assumptions!$B$6*Assumptions!$B$4</f>
        <v/>
      </c>
      <c r="G6" s="15">
        <f>'User Growth'!G19*Assumptions!$B$6*Assumptions!$B$4</f>
        <v/>
      </c>
      <c r="H6" s="15">
        <f>'User Growth'!H19*Assumptions!$B$6*Assumptions!$B$4</f>
        <v/>
      </c>
      <c r="I6" s="15">
        <f>'User Growth'!I19*Assumptions!$B$6*Assumptions!$B$4</f>
        <v/>
      </c>
      <c r="J6" s="15">
        <f>'User Growth'!J19*Assumptions!$B$6*Assumptions!$B$4</f>
        <v/>
      </c>
      <c r="K6" s="15">
        <f>'User Growth'!K19*Assumptions!$B$6*Assumptions!$B$4</f>
        <v/>
      </c>
      <c r="L6" s="15">
        <f>'User Growth'!L19*Assumptions!$B$6*Assumptions!$B$4</f>
        <v/>
      </c>
      <c r="M6" s="15">
        <f>'User Growth'!M19*Assumptions!$B$6*Assumptions!$B$4</f>
        <v/>
      </c>
      <c r="N6" s="15">
        <f>'User Growth'!N19*Assumptions!$B$6*Assumptions!$B$4</f>
        <v/>
      </c>
      <c r="O6" s="15">
        <f>'User Growth'!O19*Assumptions!$B$6*Assumptions!$B$4</f>
        <v/>
      </c>
      <c r="P6" s="15">
        <f>'User Growth'!P19*Assumptions!$B$6*Assumptions!$B$4</f>
        <v/>
      </c>
      <c r="Q6" s="15">
        <f>'User Growth'!Q19*Assumptions!$B$6*Assumptions!$B$4</f>
        <v/>
      </c>
      <c r="R6" s="15">
        <f>'User Growth'!R19*Assumptions!$B$6*Assumptions!$B$4</f>
        <v/>
      </c>
      <c r="S6" s="15">
        <f>'User Growth'!S19*Assumptions!$B$6*Assumptions!$B$4</f>
        <v/>
      </c>
      <c r="T6" s="15">
        <f>'User Growth'!T19*Assumptions!$B$6*Assumptions!$B$4</f>
        <v/>
      </c>
      <c r="U6" s="15">
        <f>'User Growth'!U19*Assumptions!$B$6*Assumptions!$B$4</f>
        <v/>
      </c>
      <c r="V6" s="15">
        <f>'User Growth'!V19*Assumptions!$B$6*Assumptions!$B$4</f>
        <v/>
      </c>
      <c r="W6" s="15">
        <f>'User Growth'!W19*Assumptions!$B$6*Assumptions!$B$4</f>
        <v/>
      </c>
      <c r="X6" s="15">
        <f>'User Growth'!X19*Assumptions!$B$6*Assumptions!$B$4</f>
        <v/>
      </c>
      <c r="Y6" s="15">
        <f>'User Growth'!Y19*Assumptions!$B$6*Assumptions!$B$4</f>
        <v/>
      </c>
    </row>
    <row r="7">
      <c r="A7" s="3" t="inlineStr">
        <is>
          <t xml:space="preserve">  Gross Subscription Revenue</t>
        </is>
      </c>
      <c r="B7" s="15">
        <f>B3+B4+B5+B6</f>
        <v/>
      </c>
      <c r="C7" s="15">
        <f>C3+C4+C5+C6</f>
        <v/>
      </c>
      <c r="D7" s="15">
        <f>D3+D4+D5+D6</f>
        <v/>
      </c>
      <c r="E7" s="15">
        <f>E3+E4+E5+E6</f>
        <v/>
      </c>
      <c r="F7" s="15">
        <f>F3+F4+F5+F6</f>
        <v/>
      </c>
      <c r="G7" s="15">
        <f>G3+G4+G5+G6</f>
        <v/>
      </c>
      <c r="H7" s="15">
        <f>H3+H4+H5+H6</f>
        <v/>
      </c>
      <c r="I7" s="15">
        <f>I3+I4+I5+I6</f>
        <v/>
      </c>
      <c r="J7" s="15">
        <f>J3+J4+J5+J6</f>
        <v/>
      </c>
      <c r="K7" s="15">
        <f>K3+K4+K5+K6</f>
        <v/>
      </c>
      <c r="L7" s="15">
        <f>L3+L4+L5+L6</f>
        <v/>
      </c>
      <c r="M7" s="15">
        <f>M3+M4+M5+M6</f>
        <v/>
      </c>
      <c r="N7" s="15">
        <f>N3+N4+N5+N6</f>
        <v/>
      </c>
      <c r="O7" s="15">
        <f>O3+O4+O5+O6</f>
        <v/>
      </c>
      <c r="P7" s="15">
        <f>P3+P4+P5+P6</f>
        <v/>
      </c>
      <c r="Q7" s="15">
        <f>Q3+Q4+Q5+Q6</f>
        <v/>
      </c>
      <c r="R7" s="15">
        <f>R3+R4+R5+R6</f>
        <v/>
      </c>
      <c r="S7" s="15">
        <f>S3+S4+S5+S6</f>
        <v/>
      </c>
      <c r="T7" s="15">
        <f>T3+T4+T5+T6</f>
        <v/>
      </c>
      <c r="U7" s="15">
        <f>U3+U4+U5+U6</f>
        <v/>
      </c>
      <c r="V7" s="15">
        <f>V3+V4+V5+V6</f>
        <v/>
      </c>
      <c r="W7" s="15">
        <f>W3+W4+W5+W6</f>
        <v/>
      </c>
      <c r="X7" s="15">
        <f>X3+X4+X5+X6</f>
        <v/>
      </c>
      <c r="Y7" s="15">
        <f>Y3+Y4+Y5+Y6</f>
        <v/>
      </c>
    </row>
    <row r="8">
      <c r="A8" s="3" t="inlineStr">
        <is>
          <t xml:space="preserve">  Less: Annual Billing Discount</t>
        </is>
      </c>
      <c r="B8" s="15">
        <f>-(B4+B6)*Assumptions!$B$5</f>
        <v/>
      </c>
      <c r="C8" s="15">
        <f>-(C4+C6)*Assumptions!$B$5</f>
        <v/>
      </c>
      <c r="D8" s="15">
        <f>-(D4+D6)*Assumptions!$B$5</f>
        <v/>
      </c>
      <c r="E8" s="15">
        <f>-(E4+E6)*Assumptions!$B$5</f>
        <v/>
      </c>
      <c r="F8" s="15">
        <f>-(F4+F6)*Assumptions!$B$5</f>
        <v/>
      </c>
      <c r="G8" s="15">
        <f>-(G4+G6)*Assumptions!$B$5</f>
        <v/>
      </c>
      <c r="H8" s="15">
        <f>-(H4+H6)*Assumptions!$B$5</f>
        <v/>
      </c>
      <c r="I8" s="15">
        <f>-(I4+I6)*Assumptions!$B$5</f>
        <v/>
      </c>
      <c r="J8" s="15">
        <f>-(J4+J6)*Assumptions!$B$5</f>
        <v/>
      </c>
      <c r="K8" s="15">
        <f>-(K4+K6)*Assumptions!$B$5</f>
        <v/>
      </c>
      <c r="L8" s="15">
        <f>-(L4+L6)*Assumptions!$B$5</f>
        <v/>
      </c>
      <c r="M8" s="15">
        <f>-(M4+M6)*Assumptions!$B$5</f>
        <v/>
      </c>
      <c r="N8" s="15">
        <f>-(N4+N6)*Assumptions!$B$5</f>
        <v/>
      </c>
      <c r="O8" s="15">
        <f>-(O4+O6)*Assumptions!$B$5</f>
        <v/>
      </c>
      <c r="P8" s="15">
        <f>-(P4+P6)*Assumptions!$B$5</f>
        <v/>
      </c>
      <c r="Q8" s="15">
        <f>-(Q4+Q6)*Assumptions!$B$5</f>
        <v/>
      </c>
      <c r="R8" s="15">
        <f>-(R4+R6)*Assumptions!$B$5</f>
        <v/>
      </c>
      <c r="S8" s="15">
        <f>-(S4+S6)*Assumptions!$B$5</f>
        <v/>
      </c>
      <c r="T8" s="15">
        <f>-(T4+T6)*Assumptions!$B$5</f>
        <v/>
      </c>
      <c r="U8" s="15">
        <f>-(U4+U6)*Assumptions!$B$5</f>
        <v/>
      </c>
      <c r="V8" s="15">
        <f>-(V4+V6)*Assumptions!$B$5</f>
        <v/>
      </c>
      <c r="W8" s="15">
        <f>-(W4+W6)*Assumptions!$B$5</f>
        <v/>
      </c>
      <c r="X8" s="15">
        <f>-(X4+X6)*Assumptions!$B$5</f>
        <v/>
      </c>
      <c r="Y8" s="15">
        <f>-(Y4+Y6)*Assumptions!$B$5</f>
        <v/>
      </c>
    </row>
    <row r="9">
      <c r="A9" s="17" t="inlineStr">
        <is>
          <t xml:space="preserve">  NET SUBSCRIPTION REVENUE</t>
        </is>
      </c>
      <c r="B9" s="18">
        <f>B7+B8</f>
        <v/>
      </c>
      <c r="C9" s="18">
        <f>C7+C8</f>
        <v/>
      </c>
      <c r="D9" s="18">
        <f>D7+D8</f>
        <v/>
      </c>
      <c r="E9" s="18">
        <f>E7+E8</f>
        <v/>
      </c>
      <c r="F9" s="18">
        <f>F7+F8</f>
        <v/>
      </c>
      <c r="G9" s="18">
        <f>G7+G8</f>
        <v/>
      </c>
      <c r="H9" s="18">
        <f>H7+H8</f>
        <v/>
      </c>
      <c r="I9" s="18">
        <f>I7+I8</f>
        <v/>
      </c>
      <c r="J9" s="18">
        <f>J7+J8</f>
        <v/>
      </c>
      <c r="K9" s="18">
        <f>K7+K8</f>
        <v/>
      </c>
      <c r="L9" s="18">
        <f>L7+L8</f>
        <v/>
      </c>
      <c r="M9" s="18">
        <f>M7+M8</f>
        <v/>
      </c>
      <c r="N9" s="18">
        <f>N7+N8</f>
        <v/>
      </c>
      <c r="O9" s="18">
        <f>O7+O8</f>
        <v/>
      </c>
      <c r="P9" s="18">
        <f>P7+P8</f>
        <v/>
      </c>
      <c r="Q9" s="18">
        <f>Q7+Q8</f>
        <v/>
      </c>
      <c r="R9" s="18">
        <f>R7+R8</f>
        <v/>
      </c>
      <c r="S9" s="18">
        <f>S7+S8</f>
        <v/>
      </c>
      <c r="T9" s="18">
        <f>T7+T8</f>
        <v/>
      </c>
      <c r="U9" s="18">
        <f>U7+U8</f>
        <v/>
      </c>
      <c r="V9" s="18">
        <f>V7+V8</f>
        <v/>
      </c>
      <c r="W9" s="18">
        <f>W7+W8</f>
        <v/>
      </c>
      <c r="X9" s="18">
        <f>X7+X8</f>
        <v/>
      </c>
      <c r="Y9" s="18">
        <f>Y7+Y8</f>
        <v/>
      </c>
    </row>
    <row r="11">
      <c r="A11" s="2" t="inlineStr">
        <is>
          <t>PAY-PER-USE REVENUE</t>
        </is>
      </c>
    </row>
    <row r="12">
      <c r="A12" s="3" t="inlineStr">
        <is>
          <t xml:space="preserve">  Stormy AI Query Packs (Free)</t>
        </is>
      </c>
      <c r="B12" s="15">
        <f>'User Growth'!B17*Assumptions!$B$27*Assumptions!$B$26</f>
        <v/>
      </c>
      <c r="C12" s="15">
        <f>'User Growth'!C17*Assumptions!$B$27*Assumptions!$B$26</f>
        <v/>
      </c>
      <c r="D12" s="15">
        <f>'User Growth'!D17*Assumptions!$B$27*Assumptions!$B$26</f>
        <v/>
      </c>
      <c r="E12" s="15">
        <f>'User Growth'!E17*Assumptions!$B$27*Assumptions!$B$26</f>
        <v/>
      </c>
      <c r="F12" s="15">
        <f>'User Growth'!F17*Assumptions!$B$27*Assumptions!$B$26</f>
        <v/>
      </c>
      <c r="G12" s="15">
        <f>'User Growth'!G17*Assumptions!$B$27*Assumptions!$B$26</f>
        <v/>
      </c>
      <c r="H12" s="15">
        <f>'User Growth'!H17*Assumptions!$B$27*Assumptions!$B$26</f>
        <v/>
      </c>
      <c r="I12" s="15">
        <f>'User Growth'!I17*Assumptions!$B$27*Assumptions!$B$26</f>
        <v/>
      </c>
      <c r="J12" s="15">
        <f>'User Growth'!J17*Assumptions!$B$27*Assumptions!$B$26</f>
        <v/>
      </c>
      <c r="K12" s="15">
        <f>'User Growth'!K17*Assumptions!$B$27*Assumptions!$B$26</f>
        <v/>
      </c>
      <c r="L12" s="15">
        <f>'User Growth'!L17*Assumptions!$B$27*Assumptions!$B$26</f>
        <v/>
      </c>
      <c r="M12" s="15">
        <f>'User Growth'!M17*Assumptions!$B$27*Assumptions!$B$26</f>
        <v/>
      </c>
      <c r="N12" s="15">
        <f>'User Growth'!N17*Assumptions!$B$27*Assumptions!$B$26</f>
        <v/>
      </c>
      <c r="O12" s="15">
        <f>'User Growth'!O17*Assumptions!$B$27*Assumptions!$B$26</f>
        <v/>
      </c>
      <c r="P12" s="15">
        <f>'User Growth'!P17*Assumptions!$B$27*Assumptions!$B$26</f>
        <v/>
      </c>
      <c r="Q12" s="15">
        <f>'User Growth'!Q17*Assumptions!$B$27*Assumptions!$B$26</f>
        <v/>
      </c>
      <c r="R12" s="15">
        <f>'User Growth'!R17*Assumptions!$B$27*Assumptions!$B$26</f>
        <v/>
      </c>
      <c r="S12" s="15">
        <f>'User Growth'!S17*Assumptions!$B$27*Assumptions!$B$26</f>
        <v/>
      </c>
      <c r="T12" s="15">
        <f>'User Growth'!T17*Assumptions!$B$27*Assumptions!$B$26</f>
        <v/>
      </c>
      <c r="U12" s="15">
        <f>'User Growth'!U17*Assumptions!$B$27*Assumptions!$B$26</f>
        <v/>
      </c>
      <c r="V12" s="15">
        <f>'User Growth'!V17*Assumptions!$B$27*Assumptions!$B$26</f>
        <v/>
      </c>
      <c r="W12" s="15">
        <f>'User Growth'!W17*Assumptions!$B$27*Assumptions!$B$26</f>
        <v/>
      </c>
      <c r="X12" s="15">
        <f>'User Growth'!X17*Assumptions!$B$27*Assumptions!$B$26</f>
        <v/>
      </c>
      <c r="Y12" s="15">
        <f>'User Growth'!Y17*Assumptions!$B$27*Assumptions!$B$26</f>
        <v/>
      </c>
    </row>
    <row r="13">
      <c r="A13" s="3" t="inlineStr">
        <is>
          <t xml:space="preserve">  Stormy AI Query Packs (Pro)</t>
        </is>
      </c>
      <c r="B13" s="15">
        <f>'User Growth'!B18*Assumptions!$B$28*Assumptions!$B$26</f>
        <v/>
      </c>
      <c r="C13" s="15">
        <f>'User Growth'!C18*Assumptions!$B$28*Assumptions!$B$26</f>
        <v/>
      </c>
      <c r="D13" s="15">
        <f>'User Growth'!D18*Assumptions!$B$28*Assumptions!$B$26</f>
        <v/>
      </c>
      <c r="E13" s="15">
        <f>'User Growth'!E18*Assumptions!$B$28*Assumptions!$B$26</f>
        <v/>
      </c>
      <c r="F13" s="15">
        <f>'User Growth'!F18*Assumptions!$B$28*Assumptions!$B$26</f>
        <v/>
      </c>
      <c r="G13" s="15">
        <f>'User Growth'!G18*Assumptions!$B$28*Assumptions!$B$26</f>
        <v/>
      </c>
      <c r="H13" s="15">
        <f>'User Growth'!H18*Assumptions!$B$28*Assumptions!$B$26</f>
        <v/>
      </c>
      <c r="I13" s="15">
        <f>'User Growth'!I18*Assumptions!$B$28*Assumptions!$B$26</f>
        <v/>
      </c>
      <c r="J13" s="15">
        <f>'User Growth'!J18*Assumptions!$B$28*Assumptions!$B$26</f>
        <v/>
      </c>
      <c r="K13" s="15">
        <f>'User Growth'!K18*Assumptions!$B$28*Assumptions!$B$26</f>
        <v/>
      </c>
      <c r="L13" s="15">
        <f>'User Growth'!L18*Assumptions!$B$28*Assumptions!$B$26</f>
        <v/>
      </c>
      <c r="M13" s="15">
        <f>'User Growth'!M18*Assumptions!$B$28*Assumptions!$B$26</f>
        <v/>
      </c>
      <c r="N13" s="15">
        <f>'User Growth'!N18*Assumptions!$B$28*Assumptions!$B$26</f>
        <v/>
      </c>
      <c r="O13" s="15">
        <f>'User Growth'!O18*Assumptions!$B$28*Assumptions!$B$26</f>
        <v/>
      </c>
      <c r="P13" s="15">
        <f>'User Growth'!P18*Assumptions!$B$28*Assumptions!$B$26</f>
        <v/>
      </c>
      <c r="Q13" s="15">
        <f>'User Growth'!Q18*Assumptions!$B$28*Assumptions!$B$26</f>
        <v/>
      </c>
      <c r="R13" s="15">
        <f>'User Growth'!R18*Assumptions!$B$28*Assumptions!$B$26</f>
        <v/>
      </c>
      <c r="S13" s="15">
        <f>'User Growth'!S18*Assumptions!$B$28*Assumptions!$B$26</f>
        <v/>
      </c>
      <c r="T13" s="15">
        <f>'User Growth'!T18*Assumptions!$B$28*Assumptions!$B$26</f>
        <v/>
      </c>
      <c r="U13" s="15">
        <f>'User Growth'!U18*Assumptions!$B$28*Assumptions!$B$26</f>
        <v/>
      </c>
      <c r="V13" s="15">
        <f>'User Growth'!V18*Assumptions!$B$28*Assumptions!$B$26</f>
        <v/>
      </c>
      <c r="W13" s="15">
        <f>'User Growth'!W18*Assumptions!$B$28*Assumptions!$B$26</f>
        <v/>
      </c>
      <c r="X13" s="15">
        <f>'User Growth'!X18*Assumptions!$B$28*Assumptions!$B$26</f>
        <v/>
      </c>
      <c r="Y13" s="15">
        <f>'User Growth'!Y18*Assumptions!$B$28*Assumptions!$B$26</f>
        <v/>
      </c>
    </row>
    <row r="14">
      <c r="A14" s="3" t="inlineStr">
        <is>
          <t xml:space="preserve">  Draft Kits (Seasonal)</t>
        </is>
      </c>
      <c r="B14" s="15">
        <f>IF(OR(COLUMN()=7,COLUMN()=8,COLUMN()=19,COLUMN()=20),'User Growth'!B20*Assumptions!$B$30*Assumptions!$B$29,0)</f>
        <v/>
      </c>
      <c r="C14" s="15">
        <f>IF(OR(COLUMN()=7,COLUMN()=8,COLUMN()=19,COLUMN()=20),'User Growth'!C20*Assumptions!$B$30*Assumptions!$B$29,0)</f>
        <v/>
      </c>
      <c r="D14" s="15">
        <f>IF(OR(COLUMN()=7,COLUMN()=8,COLUMN()=19,COLUMN()=20),'User Growth'!D20*Assumptions!$B$30*Assumptions!$B$29,0)</f>
        <v/>
      </c>
      <c r="E14" s="15">
        <f>IF(OR(COLUMN()=7,COLUMN()=8,COLUMN()=19,COLUMN()=20),'User Growth'!E20*Assumptions!$B$30*Assumptions!$B$29,0)</f>
        <v/>
      </c>
      <c r="F14" s="15">
        <f>IF(OR(COLUMN()=7,COLUMN()=8,COLUMN()=19,COLUMN()=20),'User Growth'!F20*Assumptions!$B$30*Assumptions!$B$29,0)</f>
        <v/>
      </c>
      <c r="G14" s="15">
        <f>IF(OR(COLUMN()=7,COLUMN()=8,COLUMN()=19,COLUMN()=20),'User Growth'!G20*Assumptions!$B$30*Assumptions!$B$29,0)</f>
        <v/>
      </c>
      <c r="H14" s="15">
        <f>IF(OR(COLUMN()=7,COLUMN()=8,COLUMN()=19,COLUMN()=20),'User Growth'!H20*Assumptions!$B$30*Assumptions!$B$29,0)</f>
        <v/>
      </c>
      <c r="I14" s="15">
        <f>IF(OR(COLUMN()=7,COLUMN()=8,COLUMN()=19,COLUMN()=20),'User Growth'!I20*Assumptions!$B$30*Assumptions!$B$29,0)</f>
        <v/>
      </c>
      <c r="J14" s="15">
        <f>IF(OR(COLUMN()=7,COLUMN()=8,COLUMN()=19,COLUMN()=20),'User Growth'!J20*Assumptions!$B$30*Assumptions!$B$29,0)</f>
        <v/>
      </c>
      <c r="K14" s="15">
        <f>IF(OR(COLUMN()=7,COLUMN()=8,COLUMN()=19,COLUMN()=20),'User Growth'!K20*Assumptions!$B$30*Assumptions!$B$29,0)</f>
        <v/>
      </c>
      <c r="L14" s="15">
        <f>IF(OR(COLUMN()=7,COLUMN()=8,COLUMN()=19,COLUMN()=20),'User Growth'!L20*Assumptions!$B$30*Assumptions!$B$29,0)</f>
        <v/>
      </c>
      <c r="M14" s="15">
        <f>IF(OR(COLUMN()=7,COLUMN()=8,COLUMN()=19,COLUMN()=20),'User Growth'!M20*Assumptions!$B$30*Assumptions!$B$29,0)</f>
        <v/>
      </c>
      <c r="N14" s="15">
        <f>IF(OR(COLUMN()=7,COLUMN()=8,COLUMN()=19,COLUMN()=20),'User Growth'!N20*Assumptions!$B$30*Assumptions!$B$29,0)</f>
        <v/>
      </c>
      <c r="O14" s="15">
        <f>IF(OR(COLUMN()=7,COLUMN()=8,COLUMN()=19,COLUMN()=20),'User Growth'!O20*Assumptions!$B$30*Assumptions!$B$29,0)</f>
        <v/>
      </c>
      <c r="P14" s="15">
        <f>IF(OR(COLUMN()=7,COLUMN()=8,COLUMN()=19,COLUMN()=20),'User Growth'!P20*Assumptions!$B$30*Assumptions!$B$29,0)</f>
        <v/>
      </c>
      <c r="Q14" s="15">
        <f>IF(OR(COLUMN()=7,COLUMN()=8,COLUMN()=19,COLUMN()=20),'User Growth'!Q20*Assumptions!$B$30*Assumptions!$B$29,0)</f>
        <v/>
      </c>
      <c r="R14" s="15">
        <f>IF(OR(COLUMN()=7,COLUMN()=8,COLUMN()=19,COLUMN()=20),'User Growth'!R20*Assumptions!$B$30*Assumptions!$B$29,0)</f>
        <v/>
      </c>
      <c r="S14" s="15">
        <f>IF(OR(COLUMN()=7,COLUMN()=8,COLUMN()=19,COLUMN()=20),'User Growth'!S20*Assumptions!$B$30*Assumptions!$B$29,0)</f>
        <v/>
      </c>
      <c r="T14" s="15">
        <f>IF(OR(COLUMN()=7,COLUMN()=8,COLUMN()=19,COLUMN()=20),'User Growth'!T20*Assumptions!$B$30*Assumptions!$B$29,0)</f>
        <v/>
      </c>
      <c r="U14" s="15">
        <f>IF(OR(COLUMN()=7,COLUMN()=8,COLUMN()=19,COLUMN()=20),'User Growth'!U20*Assumptions!$B$30*Assumptions!$B$29,0)</f>
        <v/>
      </c>
      <c r="V14" s="15">
        <f>IF(OR(COLUMN()=7,COLUMN()=8,COLUMN()=19,COLUMN()=20),'User Growth'!V20*Assumptions!$B$30*Assumptions!$B$29,0)</f>
        <v/>
      </c>
      <c r="W14" s="15">
        <f>IF(OR(COLUMN()=7,COLUMN()=8,COLUMN()=19,COLUMN()=20),'User Growth'!W20*Assumptions!$B$30*Assumptions!$B$29,0)</f>
        <v/>
      </c>
      <c r="X14" s="15">
        <f>IF(OR(COLUMN()=7,COLUMN()=8,COLUMN()=19,COLUMN()=20),'User Growth'!X20*Assumptions!$B$30*Assumptions!$B$29,0)</f>
        <v/>
      </c>
      <c r="Y14" s="15">
        <f>IF(OR(COLUMN()=7,COLUMN()=8,COLUMN()=19,COLUMN()=20),'User Growth'!Y20*Assumptions!$B$30*Assumptions!$B$29,0)</f>
        <v/>
      </c>
    </row>
    <row r="15">
      <c r="A15" s="17" t="inlineStr">
        <is>
          <t xml:space="preserve">  NET PAY-PER-USE REVENUE</t>
        </is>
      </c>
      <c r="B15" s="18">
        <f>B12+B13+B14</f>
        <v/>
      </c>
      <c r="C15" s="18">
        <f>C12+C13+C14</f>
        <v/>
      </c>
      <c r="D15" s="18">
        <f>D12+D13+D14</f>
        <v/>
      </c>
      <c r="E15" s="18">
        <f>E12+E13+E14</f>
        <v/>
      </c>
      <c r="F15" s="18">
        <f>F12+F13+F14</f>
        <v/>
      </c>
      <c r="G15" s="18">
        <f>G12+G13+G14</f>
        <v/>
      </c>
      <c r="H15" s="18">
        <f>H12+H13+H14</f>
        <v/>
      </c>
      <c r="I15" s="18">
        <f>I12+I13+I14</f>
        <v/>
      </c>
      <c r="J15" s="18">
        <f>J12+J13+J14</f>
        <v/>
      </c>
      <c r="K15" s="18">
        <f>K12+K13+K14</f>
        <v/>
      </c>
      <c r="L15" s="18">
        <f>L12+L13+L14</f>
        <v/>
      </c>
      <c r="M15" s="18">
        <f>M12+M13+M14</f>
        <v/>
      </c>
      <c r="N15" s="18">
        <f>N12+N13+N14</f>
        <v/>
      </c>
      <c r="O15" s="18">
        <f>O12+O13+O14</f>
        <v/>
      </c>
      <c r="P15" s="18">
        <f>P12+P13+P14</f>
        <v/>
      </c>
      <c r="Q15" s="18">
        <f>Q12+Q13+Q14</f>
        <v/>
      </c>
      <c r="R15" s="18">
        <f>R12+R13+R14</f>
        <v/>
      </c>
      <c r="S15" s="18">
        <f>S12+S13+S14</f>
        <v/>
      </c>
      <c r="T15" s="18">
        <f>T12+T13+T14</f>
        <v/>
      </c>
      <c r="U15" s="18">
        <f>U12+U13+U14</f>
        <v/>
      </c>
      <c r="V15" s="18">
        <f>V12+V13+V14</f>
        <v/>
      </c>
      <c r="W15" s="18">
        <f>W12+W13+W14</f>
        <v/>
      </c>
      <c r="X15" s="18">
        <f>X12+X13+X14</f>
        <v/>
      </c>
      <c r="Y15" s="18">
        <f>Y12+Y13+Y14</f>
        <v/>
      </c>
    </row>
    <row r="17">
      <c r="A17" s="2" t="inlineStr">
        <is>
          <t>DFS REVENUE</t>
        </is>
      </c>
    </row>
    <row r="18">
      <c r="A18" s="3" t="inlineStr">
        <is>
          <t xml:space="preserve">  Gross DFS Entry Fees (info)</t>
        </is>
      </c>
      <c r="B18" s="15">
        <f>IF(COLUMN()-2&gt;=Assumptions!$B$37,'User Growth'!B20*Assumptions!$B$35*Assumptions!$B$36*Assumptions!$B$34,0)</f>
        <v/>
      </c>
      <c r="C18" s="15">
        <f>IF(COLUMN()-2&gt;=Assumptions!$B$37,'User Growth'!C20*Assumptions!$B$35*Assumptions!$B$36*Assumptions!$B$34,0)</f>
        <v/>
      </c>
      <c r="D18" s="15">
        <f>IF(COLUMN()-2&gt;=Assumptions!$B$37,'User Growth'!D20*Assumptions!$B$35*Assumptions!$B$36*Assumptions!$B$34,0)</f>
        <v/>
      </c>
      <c r="E18" s="15">
        <f>IF(COLUMN()-2&gt;=Assumptions!$B$37,'User Growth'!E20*Assumptions!$B$35*Assumptions!$B$36*Assumptions!$B$34,0)</f>
        <v/>
      </c>
      <c r="F18" s="15">
        <f>IF(COLUMN()-2&gt;=Assumptions!$B$37,'User Growth'!F20*Assumptions!$B$35*Assumptions!$B$36*Assumptions!$B$34,0)</f>
        <v/>
      </c>
      <c r="G18" s="15">
        <f>IF(COLUMN()-2&gt;=Assumptions!$B$37,'User Growth'!G20*Assumptions!$B$35*Assumptions!$B$36*Assumptions!$B$34,0)</f>
        <v/>
      </c>
      <c r="H18" s="15">
        <f>IF(COLUMN()-2&gt;=Assumptions!$B$37,'User Growth'!H20*Assumptions!$B$35*Assumptions!$B$36*Assumptions!$B$34,0)</f>
        <v/>
      </c>
      <c r="I18" s="15">
        <f>IF(COLUMN()-2&gt;=Assumptions!$B$37,'User Growth'!I20*Assumptions!$B$35*Assumptions!$B$36*Assumptions!$B$34,0)</f>
        <v/>
      </c>
      <c r="J18" s="15">
        <f>IF(COLUMN()-2&gt;=Assumptions!$B$37,'User Growth'!J20*Assumptions!$B$35*Assumptions!$B$36*Assumptions!$B$34,0)</f>
        <v/>
      </c>
      <c r="K18" s="15">
        <f>IF(COLUMN()-2&gt;=Assumptions!$B$37,'User Growth'!K20*Assumptions!$B$35*Assumptions!$B$36*Assumptions!$B$34,0)</f>
        <v/>
      </c>
      <c r="L18" s="15">
        <f>IF(COLUMN()-2&gt;=Assumptions!$B$37,'User Growth'!L20*Assumptions!$B$35*Assumptions!$B$36*Assumptions!$B$34,0)</f>
        <v/>
      </c>
      <c r="M18" s="15">
        <f>IF(COLUMN()-2&gt;=Assumptions!$B$37,'User Growth'!M20*Assumptions!$B$35*Assumptions!$B$36*Assumptions!$B$34,0)</f>
        <v/>
      </c>
      <c r="N18" s="15">
        <f>IF(COLUMN()-2&gt;=Assumptions!$B$37,'User Growth'!N20*Assumptions!$B$35*Assumptions!$B$36*Assumptions!$B$34,0)</f>
        <v/>
      </c>
      <c r="O18" s="15">
        <f>IF(COLUMN()-2&gt;=Assumptions!$B$37,'User Growth'!O20*Assumptions!$B$35*Assumptions!$B$36*Assumptions!$B$34,0)</f>
        <v/>
      </c>
      <c r="P18" s="15">
        <f>IF(COLUMN()-2&gt;=Assumptions!$B$37,'User Growth'!P20*Assumptions!$B$35*Assumptions!$B$36*Assumptions!$B$34,0)</f>
        <v/>
      </c>
      <c r="Q18" s="15">
        <f>IF(COLUMN()-2&gt;=Assumptions!$B$37,'User Growth'!Q20*Assumptions!$B$35*Assumptions!$B$36*Assumptions!$B$34,0)</f>
        <v/>
      </c>
      <c r="R18" s="15">
        <f>IF(COLUMN()-2&gt;=Assumptions!$B$37,'User Growth'!R20*Assumptions!$B$35*Assumptions!$B$36*Assumptions!$B$34,0)</f>
        <v/>
      </c>
      <c r="S18" s="15">
        <f>IF(COLUMN()-2&gt;=Assumptions!$B$37,'User Growth'!S20*Assumptions!$B$35*Assumptions!$B$36*Assumptions!$B$34,0)</f>
        <v/>
      </c>
      <c r="T18" s="15">
        <f>IF(COLUMN()-2&gt;=Assumptions!$B$37,'User Growth'!T20*Assumptions!$B$35*Assumptions!$B$36*Assumptions!$B$34,0)</f>
        <v/>
      </c>
      <c r="U18" s="15">
        <f>IF(COLUMN()-2&gt;=Assumptions!$B$37,'User Growth'!U20*Assumptions!$B$35*Assumptions!$B$36*Assumptions!$B$34,0)</f>
        <v/>
      </c>
      <c r="V18" s="15">
        <f>IF(COLUMN()-2&gt;=Assumptions!$B$37,'User Growth'!V20*Assumptions!$B$35*Assumptions!$B$36*Assumptions!$B$34,0)</f>
        <v/>
      </c>
      <c r="W18" s="15">
        <f>IF(COLUMN()-2&gt;=Assumptions!$B$37,'User Growth'!W20*Assumptions!$B$35*Assumptions!$B$36*Assumptions!$B$34,0)</f>
        <v/>
      </c>
      <c r="X18" s="15">
        <f>IF(COLUMN()-2&gt;=Assumptions!$B$37,'User Growth'!X20*Assumptions!$B$35*Assumptions!$B$36*Assumptions!$B$34,0)</f>
        <v/>
      </c>
      <c r="Y18" s="15">
        <f>IF(COLUMN()-2&gt;=Assumptions!$B$37,'User Growth'!Y20*Assumptions!$B$35*Assumptions!$B$36*Assumptions!$B$34,0)</f>
        <v/>
      </c>
    </row>
    <row r="19">
      <c r="A19" s="3" t="inlineStr">
        <is>
          <t xml:space="preserve">  DFS Rake Revenue</t>
        </is>
      </c>
      <c r="B19" s="15">
        <f>B18*Assumptions!$B$33</f>
        <v/>
      </c>
      <c r="C19" s="15">
        <f>C18*Assumptions!$B$33</f>
        <v/>
      </c>
      <c r="D19" s="15">
        <f>D18*Assumptions!$B$33</f>
        <v/>
      </c>
      <c r="E19" s="15">
        <f>E18*Assumptions!$B$33</f>
        <v/>
      </c>
      <c r="F19" s="15">
        <f>F18*Assumptions!$B$33</f>
        <v/>
      </c>
      <c r="G19" s="15">
        <f>G18*Assumptions!$B$33</f>
        <v/>
      </c>
      <c r="H19" s="15">
        <f>H18*Assumptions!$B$33</f>
        <v/>
      </c>
      <c r="I19" s="15">
        <f>I18*Assumptions!$B$33</f>
        <v/>
      </c>
      <c r="J19" s="15">
        <f>J18*Assumptions!$B$33</f>
        <v/>
      </c>
      <c r="K19" s="15">
        <f>K18*Assumptions!$B$33</f>
        <v/>
      </c>
      <c r="L19" s="15">
        <f>L18*Assumptions!$B$33</f>
        <v/>
      </c>
      <c r="M19" s="15">
        <f>M18*Assumptions!$B$33</f>
        <v/>
      </c>
      <c r="N19" s="15">
        <f>N18*Assumptions!$B$33</f>
        <v/>
      </c>
      <c r="O19" s="15">
        <f>O18*Assumptions!$B$33</f>
        <v/>
      </c>
      <c r="P19" s="15">
        <f>P18*Assumptions!$B$33</f>
        <v/>
      </c>
      <c r="Q19" s="15">
        <f>Q18*Assumptions!$B$33</f>
        <v/>
      </c>
      <c r="R19" s="15">
        <f>R18*Assumptions!$B$33</f>
        <v/>
      </c>
      <c r="S19" s="15">
        <f>S18*Assumptions!$B$33</f>
        <v/>
      </c>
      <c r="T19" s="15">
        <f>T18*Assumptions!$B$33</f>
        <v/>
      </c>
      <c r="U19" s="15">
        <f>U18*Assumptions!$B$33</f>
        <v/>
      </c>
      <c r="V19" s="15">
        <f>V18*Assumptions!$B$33</f>
        <v/>
      </c>
      <c r="W19" s="15">
        <f>W18*Assumptions!$B$33</f>
        <v/>
      </c>
      <c r="X19" s="15">
        <f>X18*Assumptions!$B$33</f>
        <v/>
      </c>
      <c r="Y19" s="15">
        <f>Y18*Assumptions!$B$33</f>
        <v/>
      </c>
    </row>
    <row r="20">
      <c r="A20" s="17" t="inlineStr">
        <is>
          <t xml:space="preserve">  NET DFS REVENUE</t>
        </is>
      </c>
      <c r="B20" s="18">
        <f>B19</f>
        <v/>
      </c>
      <c r="C20" s="18">
        <f>C19</f>
        <v/>
      </c>
      <c r="D20" s="18">
        <f>D19</f>
        <v/>
      </c>
      <c r="E20" s="18">
        <f>E19</f>
        <v/>
      </c>
      <c r="F20" s="18">
        <f>F19</f>
        <v/>
      </c>
      <c r="G20" s="18">
        <f>G19</f>
        <v/>
      </c>
      <c r="H20" s="18">
        <f>H19</f>
        <v/>
      </c>
      <c r="I20" s="18">
        <f>I19</f>
        <v/>
      </c>
      <c r="J20" s="18">
        <f>J19</f>
        <v/>
      </c>
      <c r="K20" s="18">
        <f>K19</f>
        <v/>
      </c>
      <c r="L20" s="18">
        <f>L19</f>
        <v/>
      </c>
      <c r="M20" s="18">
        <f>M19</f>
        <v/>
      </c>
      <c r="N20" s="18">
        <f>N19</f>
        <v/>
      </c>
      <c r="O20" s="18">
        <f>O19</f>
        <v/>
      </c>
      <c r="P20" s="18">
        <f>P19</f>
        <v/>
      </c>
      <c r="Q20" s="18">
        <f>Q19</f>
        <v/>
      </c>
      <c r="R20" s="18">
        <f>R19</f>
        <v/>
      </c>
      <c r="S20" s="18">
        <f>S19</f>
        <v/>
      </c>
      <c r="T20" s="18">
        <f>T19</f>
        <v/>
      </c>
      <c r="U20" s="18">
        <f>U19</f>
        <v/>
      </c>
      <c r="V20" s="18">
        <f>V19</f>
        <v/>
      </c>
      <c r="W20" s="18">
        <f>W19</f>
        <v/>
      </c>
      <c r="X20" s="18">
        <f>X19</f>
        <v/>
      </c>
      <c r="Y20" s="18">
        <f>Y19</f>
        <v/>
      </c>
    </row>
    <row r="22">
      <c r="A22" s="2" t="inlineStr">
        <is>
          <t>ADVERTISING REVENUE</t>
        </is>
      </c>
    </row>
    <row r="23">
      <c r="A23" s="3" t="inlineStr">
        <is>
          <t xml:space="preserve">  Ad Impressions (000s)</t>
        </is>
      </c>
      <c r="B23" s="15">
        <f>'User Growth'!B17*IF('User Growth'!B2="IN-SEASON",Assumptions!$B$41,Assumptions!$B$42)*Assumptions!$B$43/1000</f>
        <v/>
      </c>
      <c r="C23" s="15">
        <f>'User Growth'!C17*IF('User Growth'!C2="IN-SEASON",Assumptions!$B$41,Assumptions!$B$42)*Assumptions!$B$43/1000</f>
        <v/>
      </c>
      <c r="D23" s="15">
        <f>'User Growth'!D17*IF('User Growth'!D2="IN-SEASON",Assumptions!$B$41,Assumptions!$B$42)*Assumptions!$B$43/1000</f>
        <v/>
      </c>
      <c r="E23" s="15">
        <f>'User Growth'!E17*IF('User Growth'!E2="IN-SEASON",Assumptions!$B$41,Assumptions!$B$42)*Assumptions!$B$43/1000</f>
        <v/>
      </c>
      <c r="F23" s="15">
        <f>'User Growth'!F17*IF('User Growth'!F2="IN-SEASON",Assumptions!$B$41,Assumptions!$B$42)*Assumptions!$B$43/1000</f>
        <v/>
      </c>
      <c r="G23" s="15">
        <f>'User Growth'!G17*IF('User Growth'!G2="IN-SEASON",Assumptions!$B$41,Assumptions!$B$42)*Assumptions!$B$43/1000</f>
        <v/>
      </c>
      <c r="H23" s="15">
        <f>'User Growth'!H17*IF('User Growth'!H2="IN-SEASON",Assumptions!$B$41,Assumptions!$B$42)*Assumptions!$B$43/1000</f>
        <v/>
      </c>
      <c r="I23" s="15">
        <f>'User Growth'!I17*IF('User Growth'!I2="IN-SEASON",Assumptions!$B$41,Assumptions!$B$42)*Assumptions!$B$43/1000</f>
        <v/>
      </c>
      <c r="J23" s="15">
        <f>'User Growth'!J17*IF('User Growth'!J2="IN-SEASON",Assumptions!$B$41,Assumptions!$B$42)*Assumptions!$B$43/1000</f>
        <v/>
      </c>
      <c r="K23" s="15">
        <f>'User Growth'!K17*IF('User Growth'!K2="IN-SEASON",Assumptions!$B$41,Assumptions!$B$42)*Assumptions!$B$43/1000</f>
        <v/>
      </c>
      <c r="L23" s="15">
        <f>'User Growth'!L17*IF('User Growth'!L2="IN-SEASON",Assumptions!$B$41,Assumptions!$B$42)*Assumptions!$B$43/1000</f>
        <v/>
      </c>
      <c r="M23" s="15">
        <f>'User Growth'!M17*IF('User Growth'!M2="IN-SEASON",Assumptions!$B$41,Assumptions!$B$42)*Assumptions!$B$43/1000</f>
        <v/>
      </c>
      <c r="N23" s="15">
        <f>'User Growth'!N17*IF('User Growth'!N2="IN-SEASON",Assumptions!$B$41,Assumptions!$B$42)*Assumptions!$B$43/1000</f>
        <v/>
      </c>
      <c r="O23" s="15">
        <f>'User Growth'!O17*IF('User Growth'!O2="IN-SEASON",Assumptions!$B$41,Assumptions!$B$42)*Assumptions!$B$43/1000</f>
        <v/>
      </c>
      <c r="P23" s="15">
        <f>'User Growth'!P17*IF('User Growth'!P2="IN-SEASON",Assumptions!$B$41,Assumptions!$B$42)*Assumptions!$B$43/1000</f>
        <v/>
      </c>
      <c r="Q23" s="15">
        <f>'User Growth'!Q17*IF('User Growth'!Q2="IN-SEASON",Assumptions!$B$41,Assumptions!$B$42)*Assumptions!$B$43/1000</f>
        <v/>
      </c>
      <c r="R23" s="15">
        <f>'User Growth'!R17*IF('User Growth'!R2="IN-SEASON",Assumptions!$B$41,Assumptions!$B$42)*Assumptions!$B$43/1000</f>
        <v/>
      </c>
      <c r="S23" s="15">
        <f>'User Growth'!S17*IF('User Growth'!S2="IN-SEASON",Assumptions!$B$41,Assumptions!$B$42)*Assumptions!$B$43/1000</f>
        <v/>
      </c>
      <c r="T23" s="15">
        <f>'User Growth'!T17*IF('User Growth'!T2="IN-SEASON",Assumptions!$B$41,Assumptions!$B$42)*Assumptions!$B$43/1000</f>
        <v/>
      </c>
      <c r="U23" s="15">
        <f>'User Growth'!U17*IF('User Growth'!U2="IN-SEASON",Assumptions!$B$41,Assumptions!$B$42)*Assumptions!$B$43/1000</f>
        <v/>
      </c>
      <c r="V23" s="15">
        <f>'User Growth'!V17*IF('User Growth'!V2="IN-SEASON",Assumptions!$B$41,Assumptions!$B$42)*Assumptions!$B$43/1000</f>
        <v/>
      </c>
      <c r="W23" s="15">
        <f>'User Growth'!W17*IF('User Growth'!W2="IN-SEASON",Assumptions!$B$41,Assumptions!$B$42)*Assumptions!$B$43/1000</f>
        <v/>
      </c>
      <c r="X23" s="15">
        <f>'User Growth'!X17*IF('User Growth'!X2="IN-SEASON",Assumptions!$B$41,Assumptions!$B$42)*Assumptions!$B$43/1000</f>
        <v/>
      </c>
      <c r="Y23" s="15">
        <f>'User Growth'!Y17*IF('User Growth'!Y2="IN-SEASON",Assumptions!$B$41,Assumptions!$B$42)*Assumptions!$B$43/1000</f>
        <v/>
      </c>
    </row>
    <row r="24">
      <c r="A24" s="3" t="inlineStr">
        <is>
          <t xml:space="preserve">  Ad Revenue</t>
        </is>
      </c>
      <c r="B24" s="15">
        <f>B23*Assumptions!$B$40</f>
        <v/>
      </c>
      <c r="C24" s="15">
        <f>C23*Assumptions!$B$40</f>
        <v/>
      </c>
      <c r="D24" s="15">
        <f>D23*Assumptions!$B$40</f>
        <v/>
      </c>
      <c r="E24" s="15">
        <f>E23*Assumptions!$B$40</f>
        <v/>
      </c>
      <c r="F24" s="15">
        <f>F23*Assumptions!$B$40</f>
        <v/>
      </c>
      <c r="G24" s="15">
        <f>G23*Assumptions!$B$40</f>
        <v/>
      </c>
      <c r="H24" s="15">
        <f>H23*Assumptions!$B$40</f>
        <v/>
      </c>
      <c r="I24" s="15">
        <f>I23*Assumptions!$B$40</f>
        <v/>
      </c>
      <c r="J24" s="15">
        <f>J23*Assumptions!$B$40</f>
        <v/>
      </c>
      <c r="K24" s="15">
        <f>K23*Assumptions!$B$40</f>
        <v/>
      </c>
      <c r="L24" s="15">
        <f>L23*Assumptions!$B$40</f>
        <v/>
      </c>
      <c r="M24" s="15">
        <f>M23*Assumptions!$B$40</f>
        <v/>
      </c>
      <c r="N24" s="15">
        <f>N23*Assumptions!$B$40</f>
        <v/>
      </c>
      <c r="O24" s="15">
        <f>O23*Assumptions!$B$40</f>
        <v/>
      </c>
      <c r="P24" s="15">
        <f>P23*Assumptions!$B$40</f>
        <v/>
      </c>
      <c r="Q24" s="15">
        <f>Q23*Assumptions!$B$40</f>
        <v/>
      </c>
      <c r="R24" s="15">
        <f>R23*Assumptions!$B$40</f>
        <v/>
      </c>
      <c r="S24" s="15">
        <f>S23*Assumptions!$B$40</f>
        <v/>
      </c>
      <c r="T24" s="15">
        <f>T23*Assumptions!$B$40</f>
        <v/>
      </c>
      <c r="U24" s="15">
        <f>U23*Assumptions!$B$40</f>
        <v/>
      </c>
      <c r="V24" s="15">
        <f>V23*Assumptions!$B$40</f>
        <v/>
      </c>
      <c r="W24" s="15">
        <f>W23*Assumptions!$B$40</f>
        <v/>
      </c>
      <c r="X24" s="15">
        <f>X23*Assumptions!$B$40</f>
        <v/>
      </c>
      <c r="Y24" s="15">
        <f>Y23*Assumptions!$B$40</f>
        <v/>
      </c>
    </row>
    <row r="25">
      <c r="A25" s="17" t="inlineStr">
        <is>
          <t xml:space="preserve">  NET ADVERTISING REVENUE</t>
        </is>
      </c>
      <c r="B25" s="18">
        <f>B24</f>
        <v/>
      </c>
      <c r="C25" s="18">
        <f>C24</f>
        <v/>
      </c>
      <c r="D25" s="18">
        <f>D24</f>
        <v/>
      </c>
      <c r="E25" s="18">
        <f>E24</f>
        <v/>
      </c>
      <c r="F25" s="18">
        <f>F24</f>
        <v/>
      </c>
      <c r="G25" s="18">
        <f>G24</f>
        <v/>
      </c>
      <c r="H25" s="18">
        <f>H24</f>
        <v/>
      </c>
      <c r="I25" s="18">
        <f>I24</f>
        <v/>
      </c>
      <c r="J25" s="18">
        <f>J24</f>
        <v/>
      </c>
      <c r="K25" s="18">
        <f>K24</f>
        <v/>
      </c>
      <c r="L25" s="18">
        <f>L24</f>
        <v/>
      </c>
      <c r="M25" s="18">
        <f>M24</f>
        <v/>
      </c>
      <c r="N25" s="18">
        <f>N24</f>
        <v/>
      </c>
      <c r="O25" s="18">
        <f>O24</f>
        <v/>
      </c>
      <c r="P25" s="18">
        <f>P24</f>
        <v/>
      </c>
      <c r="Q25" s="18">
        <f>Q24</f>
        <v/>
      </c>
      <c r="R25" s="18">
        <f>R24</f>
        <v/>
      </c>
      <c r="S25" s="18">
        <f>S24</f>
        <v/>
      </c>
      <c r="T25" s="18">
        <f>T24</f>
        <v/>
      </c>
      <c r="U25" s="18">
        <f>U24</f>
        <v/>
      </c>
      <c r="V25" s="18">
        <f>V24</f>
        <v/>
      </c>
      <c r="W25" s="18">
        <f>W24</f>
        <v/>
      </c>
      <c r="X25" s="18">
        <f>X24</f>
        <v/>
      </c>
      <c r="Y25" s="18">
        <f>Y24</f>
        <v/>
      </c>
    </row>
    <row r="27">
      <c r="A27" s="17" t="inlineStr">
        <is>
          <t>GROSS REVENUE</t>
        </is>
      </c>
      <c r="B27" s="18">
        <f>B9+B15+B20+B25</f>
        <v/>
      </c>
      <c r="C27" s="18">
        <f>C9+C15+C20+C25</f>
        <v/>
      </c>
      <c r="D27" s="18">
        <f>D9+D15+D20+D25</f>
        <v/>
      </c>
      <c r="E27" s="18">
        <f>E9+E15+E20+E25</f>
        <v/>
      </c>
      <c r="F27" s="18">
        <f>F9+F15+F20+F25</f>
        <v/>
      </c>
      <c r="G27" s="18">
        <f>G9+G15+G20+G25</f>
        <v/>
      </c>
      <c r="H27" s="18">
        <f>H9+H15+H20+H25</f>
        <v/>
      </c>
      <c r="I27" s="18">
        <f>I9+I15+I20+I25</f>
        <v/>
      </c>
      <c r="J27" s="18">
        <f>J9+J15+J20+J25</f>
        <v/>
      </c>
      <c r="K27" s="18">
        <f>K9+K15+K20+K25</f>
        <v/>
      </c>
      <c r="L27" s="18">
        <f>L9+L15+L20+L25</f>
        <v/>
      </c>
      <c r="M27" s="18">
        <f>M9+M15+M20+M25</f>
        <v/>
      </c>
      <c r="N27" s="18">
        <f>N9+N15+N20+N25</f>
        <v/>
      </c>
      <c r="O27" s="18">
        <f>O9+O15+O20+O25</f>
        <v/>
      </c>
      <c r="P27" s="18">
        <f>P9+P15+P20+P25</f>
        <v/>
      </c>
      <c r="Q27" s="18">
        <f>Q9+Q15+Q20+Q25</f>
        <v/>
      </c>
      <c r="R27" s="18">
        <f>R9+R15+R20+R25</f>
        <v/>
      </c>
      <c r="S27" s="18">
        <f>S9+S15+S20+S25</f>
        <v/>
      </c>
      <c r="T27" s="18">
        <f>T9+T15+T20+T25</f>
        <v/>
      </c>
      <c r="U27" s="18">
        <f>U9+U15+U20+U25</f>
        <v/>
      </c>
      <c r="V27" s="18">
        <f>V9+V15+V20+V25</f>
        <v/>
      </c>
      <c r="W27" s="18">
        <f>W9+W15+W20+W25</f>
        <v/>
      </c>
      <c r="X27" s="18">
        <f>X9+X15+X20+X25</f>
        <v/>
      </c>
      <c r="Y27" s="18">
        <f>Y9+Y15+Y20+Y25</f>
        <v/>
      </c>
    </row>
    <row r="29">
      <c r="A29" s="2" t="inlineStr">
        <is>
          <t>PLATFORM FEES</t>
        </is>
      </c>
    </row>
    <row r="30">
      <c r="A30" s="3" t="inlineStr">
        <is>
          <t xml:space="preserve">  Apple App Store (15%)</t>
        </is>
      </c>
      <c r="B30" s="15">
        <f>B9*Assumptions!$B$64*Assumptions!$B$62*Assumptions!$B$58</f>
        <v/>
      </c>
      <c r="C30" s="15">
        <f>C9*Assumptions!$B$64*Assumptions!$B$62*Assumptions!$B$58</f>
        <v/>
      </c>
      <c r="D30" s="15">
        <f>D9*Assumptions!$B$64*Assumptions!$B$62*Assumptions!$B$58</f>
        <v/>
      </c>
      <c r="E30" s="15">
        <f>E9*Assumptions!$B$64*Assumptions!$B$62*Assumptions!$B$58</f>
        <v/>
      </c>
      <c r="F30" s="15">
        <f>F9*Assumptions!$B$64*Assumptions!$B$62*Assumptions!$B$58</f>
        <v/>
      </c>
      <c r="G30" s="15">
        <f>G9*Assumptions!$B$64*Assumptions!$B$62*Assumptions!$B$58</f>
        <v/>
      </c>
      <c r="H30" s="15">
        <f>H9*Assumptions!$B$64*Assumptions!$B$62*Assumptions!$B$58</f>
        <v/>
      </c>
      <c r="I30" s="15">
        <f>I9*Assumptions!$B$64*Assumptions!$B$62*Assumptions!$B$58</f>
        <v/>
      </c>
      <c r="J30" s="15">
        <f>J9*Assumptions!$B$64*Assumptions!$B$62*Assumptions!$B$58</f>
        <v/>
      </c>
      <c r="K30" s="15">
        <f>K9*Assumptions!$B$64*Assumptions!$B$62*Assumptions!$B$58</f>
        <v/>
      </c>
      <c r="L30" s="15">
        <f>L9*Assumptions!$B$64*Assumptions!$B$62*Assumptions!$B$58</f>
        <v/>
      </c>
      <c r="M30" s="15">
        <f>M9*Assumptions!$B$64*Assumptions!$B$62*Assumptions!$B$58</f>
        <v/>
      </c>
      <c r="N30" s="15">
        <f>N9*Assumptions!$B$64*Assumptions!$B$62*Assumptions!$B$58</f>
        <v/>
      </c>
      <c r="O30" s="15">
        <f>O9*Assumptions!$B$64*Assumptions!$B$62*Assumptions!$B$58</f>
        <v/>
      </c>
      <c r="P30" s="15">
        <f>P9*Assumptions!$B$64*Assumptions!$B$62*Assumptions!$B$58</f>
        <v/>
      </c>
      <c r="Q30" s="15">
        <f>Q9*Assumptions!$B$64*Assumptions!$B$62*Assumptions!$B$58</f>
        <v/>
      </c>
      <c r="R30" s="15">
        <f>R9*Assumptions!$B$64*Assumptions!$B$62*Assumptions!$B$58</f>
        <v/>
      </c>
      <c r="S30" s="15">
        <f>S9*Assumptions!$B$64*Assumptions!$B$62*Assumptions!$B$58</f>
        <v/>
      </c>
      <c r="T30" s="15">
        <f>T9*Assumptions!$B$64*Assumptions!$B$62*Assumptions!$B$58</f>
        <v/>
      </c>
      <c r="U30" s="15">
        <f>U9*Assumptions!$B$64*Assumptions!$B$62*Assumptions!$B$58</f>
        <v/>
      </c>
      <c r="V30" s="15">
        <f>V9*Assumptions!$B$64*Assumptions!$B$62*Assumptions!$B$58</f>
        <v/>
      </c>
      <c r="W30" s="15">
        <f>W9*Assumptions!$B$64*Assumptions!$B$62*Assumptions!$B$58</f>
        <v/>
      </c>
      <c r="X30" s="15">
        <f>X9*Assumptions!$B$64*Assumptions!$B$62*Assumptions!$B$58</f>
        <v/>
      </c>
      <c r="Y30" s="15">
        <f>Y9*Assumptions!$B$64*Assumptions!$B$62*Assumptions!$B$58</f>
        <v/>
      </c>
    </row>
    <row r="31">
      <c r="A31" s="3" t="inlineStr">
        <is>
          <t xml:space="preserve">  Google Play (15%)</t>
        </is>
      </c>
      <c r="B31" s="15">
        <f>B9*Assumptions!$B$64*Assumptions!$B$63*Assumptions!$B$59</f>
        <v/>
      </c>
      <c r="C31" s="15">
        <f>C9*Assumptions!$B$64*Assumptions!$B$63*Assumptions!$B$59</f>
        <v/>
      </c>
      <c r="D31" s="15">
        <f>D9*Assumptions!$B$64*Assumptions!$B$63*Assumptions!$B$59</f>
        <v/>
      </c>
      <c r="E31" s="15">
        <f>E9*Assumptions!$B$64*Assumptions!$B$63*Assumptions!$B$59</f>
        <v/>
      </c>
      <c r="F31" s="15">
        <f>F9*Assumptions!$B$64*Assumptions!$B$63*Assumptions!$B$59</f>
        <v/>
      </c>
      <c r="G31" s="15">
        <f>G9*Assumptions!$B$64*Assumptions!$B$63*Assumptions!$B$59</f>
        <v/>
      </c>
      <c r="H31" s="15">
        <f>H9*Assumptions!$B$64*Assumptions!$B$63*Assumptions!$B$59</f>
        <v/>
      </c>
      <c r="I31" s="15">
        <f>I9*Assumptions!$B$64*Assumptions!$B$63*Assumptions!$B$59</f>
        <v/>
      </c>
      <c r="J31" s="15">
        <f>J9*Assumptions!$B$64*Assumptions!$B$63*Assumptions!$B$59</f>
        <v/>
      </c>
      <c r="K31" s="15">
        <f>K9*Assumptions!$B$64*Assumptions!$B$63*Assumptions!$B$59</f>
        <v/>
      </c>
      <c r="L31" s="15">
        <f>L9*Assumptions!$B$64*Assumptions!$B$63*Assumptions!$B$59</f>
        <v/>
      </c>
      <c r="M31" s="15">
        <f>M9*Assumptions!$B$64*Assumptions!$B$63*Assumptions!$B$59</f>
        <v/>
      </c>
      <c r="N31" s="15">
        <f>N9*Assumptions!$B$64*Assumptions!$B$63*Assumptions!$B$59</f>
        <v/>
      </c>
      <c r="O31" s="15">
        <f>O9*Assumptions!$B$64*Assumptions!$B$63*Assumptions!$B$59</f>
        <v/>
      </c>
      <c r="P31" s="15">
        <f>P9*Assumptions!$B$64*Assumptions!$B$63*Assumptions!$B$59</f>
        <v/>
      </c>
      <c r="Q31" s="15">
        <f>Q9*Assumptions!$B$64*Assumptions!$B$63*Assumptions!$B$59</f>
        <v/>
      </c>
      <c r="R31" s="15">
        <f>R9*Assumptions!$B$64*Assumptions!$B$63*Assumptions!$B$59</f>
        <v/>
      </c>
      <c r="S31" s="15">
        <f>S9*Assumptions!$B$64*Assumptions!$B$63*Assumptions!$B$59</f>
        <v/>
      </c>
      <c r="T31" s="15">
        <f>T9*Assumptions!$B$64*Assumptions!$B$63*Assumptions!$B$59</f>
        <v/>
      </c>
      <c r="U31" s="15">
        <f>U9*Assumptions!$B$64*Assumptions!$B$63*Assumptions!$B$59</f>
        <v/>
      </c>
      <c r="V31" s="15">
        <f>V9*Assumptions!$B$64*Assumptions!$B$63*Assumptions!$B$59</f>
        <v/>
      </c>
      <c r="W31" s="15">
        <f>W9*Assumptions!$B$64*Assumptions!$B$63*Assumptions!$B$59</f>
        <v/>
      </c>
      <c r="X31" s="15">
        <f>X9*Assumptions!$B$64*Assumptions!$B$63*Assumptions!$B$59</f>
        <v/>
      </c>
      <c r="Y31" s="15">
        <f>Y9*Assumptions!$B$64*Assumptions!$B$63*Assumptions!$B$59</f>
        <v/>
      </c>
    </row>
    <row r="32">
      <c r="A32" s="3" t="inlineStr">
        <is>
          <t xml:space="preserve">  Stripe Processing</t>
        </is>
      </c>
      <c r="B32" s="15">
        <f>IF((B9*(1-Assumptions!$B$64)+B15+B20)&gt;0,(B9*(1-Assumptions!$B$64)+B15+B20)*Assumptions!$B$60+MAX(1,('User Growth'!B18+'User Growth'!B19)*0.3+'User Growth'!B17*Assumptions!$B$27+'User Growth'!B18*Assumptions!$B$28)*Assumptions!$B$61,0)</f>
        <v/>
      </c>
      <c r="C32" s="15">
        <f>IF((C9*(1-Assumptions!$B$64)+C15+C20)&gt;0,(C9*(1-Assumptions!$B$64)+C15+C20)*Assumptions!$B$60+MAX(1,('User Growth'!C18+'User Growth'!C19)*0.3+'User Growth'!C17*Assumptions!$B$27+'User Growth'!C18*Assumptions!$B$28)*Assumptions!$B$61,0)</f>
        <v/>
      </c>
      <c r="D32" s="15">
        <f>IF((D9*(1-Assumptions!$B$64)+D15+D20)&gt;0,(D9*(1-Assumptions!$B$64)+D15+D20)*Assumptions!$B$60+MAX(1,('User Growth'!D18+'User Growth'!D19)*0.3+'User Growth'!D17*Assumptions!$B$27+'User Growth'!D18*Assumptions!$B$28)*Assumptions!$B$61,0)</f>
        <v/>
      </c>
      <c r="E32" s="15">
        <f>IF((E9*(1-Assumptions!$B$64)+E15+E20)&gt;0,(E9*(1-Assumptions!$B$64)+E15+E20)*Assumptions!$B$60+MAX(1,('User Growth'!E18+'User Growth'!E19)*0.3+'User Growth'!E17*Assumptions!$B$27+'User Growth'!E18*Assumptions!$B$28)*Assumptions!$B$61,0)</f>
        <v/>
      </c>
      <c r="F32" s="15">
        <f>IF((F9*(1-Assumptions!$B$64)+F15+F20)&gt;0,(F9*(1-Assumptions!$B$64)+F15+F20)*Assumptions!$B$60+MAX(1,('User Growth'!F18+'User Growth'!F19)*0.3+'User Growth'!F17*Assumptions!$B$27+'User Growth'!F18*Assumptions!$B$28)*Assumptions!$B$61,0)</f>
        <v/>
      </c>
      <c r="G32" s="15">
        <f>IF((G9*(1-Assumptions!$B$64)+G15+G20)&gt;0,(G9*(1-Assumptions!$B$64)+G15+G20)*Assumptions!$B$60+MAX(1,('User Growth'!G18+'User Growth'!G19)*0.3+'User Growth'!G17*Assumptions!$B$27+'User Growth'!G18*Assumptions!$B$28)*Assumptions!$B$61,0)</f>
        <v/>
      </c>
      <c r="H32" s="15">
        <f>IF((H9*(1-Assumptions!$B$64)+H15+H20)&gt;0,(H9*(1-Assumptions!$B$64)+H15+H20)*Assumptions!$B$60+MAX(1,('User Growth'!H18+'User Growth'!H19)*0.3+'User Growth'!H17*Assumptions!$B$27+'User Growth'!H18*Assumptions!$B$28)*Assumptions!$B$61,0)</f>
        <v/>
      </c>
      <c r="I32" s="15">
        <f>IF((I9*(1-Assumptions!$B$64)+I15+I20)&gt;0,(I9*(1-Assumptions!$B$64)+I15+I20)*Assumptions!$B$60+MAX(1,('User Growth'!I18+'User Growth'!I19)*0.3+'User Growth'!I17*Assumptions!$B$27+'User Growth'!I18*Assumptions!$B$28)*Assumptions!$B$61,0)</f>
        <v/>
      </c>
      <c r="J32" s="15">
        <f>IF((J9*(1-Assumptions!$B$64)+J15+J20)&gt;0,(J9*(1-Assumptions!$B$64)+J15+J20)*Assumptions!$B$60+MAX(1,('User Growth'!J18+'User Growth'!J19)*0.3+'User Growth'!J17*Assumptions!$B$27+'User Growth'!J18*Assumptions!$B$28)*Assumptions!$B$61,0)</f>
        <v/>
      </c>
      <c r="K32" s="15">
        <f>IF((K9*(1-Assumptions!$B$64)+K15+K20)&gt;0,(K9*(1-Assumptions!$B$64)+K15+K20)*Assumptions!$B$60+MAX(1,('User Growth'!K18+'User Growth'!K19)*0.3+'User Growth'!K17*Assumptions!$B$27+'User Growth'!K18*Assumptions!$B$28)*Assumptions!$B$61,0)</f>
        <v/>
      </c>
      <c r="L32" s="15">
        <f>IF((L9*(1-Assumptions!$B$64)+L15+L20)&gt;0,(L9*(1-Assumptions!$B$64)+L15+L20)*Assumptions!$B$60+MAX(1,('User Growth'!L18+'User Growth'!L19)*0.3+'User Growth'!L17*Assumptions!$B$27+'User Growth'!L18*Assumptions!$B$28)*Assumptions!$B$61,0)</f>
        <v/>
      </c>
      <c r="M32" s="15">
        <f>IF((M9*(1-Assumptions!$B$64)+M15+M20)&gt;0,(M9*(1-Assumptions!$B$64)+M15+M20)*Assumptions!$B$60+MAX(1,('User Growth'!M18+'User Growth'!M19)*0.3+'User Growth'!M17*Assumptions!$B$27+'User Growth'!M18*Assumptions!$B$28)*Assumptions!$B$61,0)</f>
        <v/>
      </c>
      <c r="N32" s="15">
        <f>IF((N9*(1-Assumptions!$B$64)+N15+N20)&gt;0,(N9*(1-Assumptions!$B$64)+N15+N20)*Assumptions!$B$60+MAX(1,('User Growth'!N18+'User Growth'!N19)*0.3+'User Growth'!N17*Assumptions!$B$27+'User Growth'!N18*Assumptions!$B$28)*Assumptions!$B$61,0)</f>
        <v/>
      </c>
      <c r="O32" s="15">
        <f>IF((O9*(1-Assumptions!$B$64)+O15+O20)&gt;0,(O9*(1-Assumptions!$B$64)+O15+O20)*Assumptions!$B$60+MAX(1,('User Growth'!O18+'User Growth'!O19)*0.3+'User Growth'!O17*Assumptions!$B$27+'User Growth'!O18*Assumptions!$B$28)*Assumptions!$B$61,0)</f>
        <v/>
      </c>
      <c r="P32" s="15">
        <f>IF((P9*(1-Assumptions!$B$64)+P15+P20)&gt;0,(P9*(1-Assumptions!$B$64)+P15+P20)*Assumptions!$B$60+MAX(1,('User Growth'!P18+'User Growth'!P19)*0.3+'User Growth'!P17*Assumptions!$B$27+'User Growth'!P18*Assumptions!$B$28)*Assumptions!$B$61,0)</f>
        <v/>
      </c>
      <c r="Q32" s="15">
        <f>IF((Q9*(1-Assumptions!$B$64)+Q15+Q20)&gt;0,(Q9*(1-Assumptions!$B$64)+Q15+Q20)*Assumptions!$B$60+MAX(1,('User Growth'!Q18+'User Growth'!Q19)*0.3+'User Growth'!Q17*Assumptions!$B$27+'User Growth'!Q18*Assumptions!$B$28)*Assumptions!$B$61,0)</f>
        <v/>
      </c>
      <c r="R32" s="15">
        <f>IF((R9*(1-Assumptions!$B$64)+R15+R20)&gt;0,(R9*(1-Assumptions!$B$64)+R15+R20)*Assumptions!$B$60+MAX(1,('User Growth'!R18+'User Growth'!R19)*0.3+'User Growth'!R17*Assumptions!$B$27+'User Growth'!R18*Assumptions!$B$28)*Assumptions!$B$61,0)</f>
        <v/>
      </c>
      <c r="S32" s="15">
        <f>IF((S9*(1-Assumptions!$B$64)+S15+S20)&gt;0,(S9*(1-Assumptions!$B$64)+S15+S20)*Assumptions!$B$60+MAX(1,('User Growth'!S18+'User Growth'!S19)*0.3+'User Growth'!S17*Assumptions!$B$27+'User Growth'!S18*Assumptions!$B$28)*Assumptions!$B$61,0)</f>
        <v/>
      </c>
      <c r="T32" s="15">
        <f>IF((T9*(1-Assumptions!$B$64)+T15+T20)&gt;0,(T9*(1-Assumptions!$B$64)+T15+T20)*Assumptions!$B$60+MAX(1,('User Growth'!T18+'User Growth'!T19)*0.3+'User Growth'!T17*Assumptions!$B$27+'User Growth'!T18*Assumptions!$B$28)*Assumptions!$B$61,0)</f>
        <v/>
      </c>
      <c r="U32" s="15">
        <f>IF((U9*(1-Assumptions!$B$64)+U15+U20)&gt;0,(U9*(1-Assumptions!$B$64)+U15+U20)*Assumptions!$B$60+MAX(1,('User Growth'!U18+'User Growth'!U19)*0.3+'User Growth'!U17*Assumptions!$B$27+'User Growth'!U18*Assumptions!$B$28)*Assumptions!$B$61,0)</f>
        <v/>
      </c>
      <c r="V32" s="15">
        <f>IF((V9*(1-Assumptions!$B$64)+V15+V20)&gt;0,(V9*(1-Assumptions!$B$64)+V15+V20)*Assumptions!$B$60+MAX(1,('User Growth'!V18+'User Growth'!V19)*0.3+'User Growth'!V17*Assumptions!$B$27+'User Growth'!V18*Assumptions!$B$28)*Assumptions!$B$61,0)</f>
        <v/>
      </c>
      <c r="W32" s="15">
        <f>IF((W9*(1-Assumptions!$B$64)+W15+W20)&gt;0,(W9*(1-Assumptions!$B$64)+W15+W20)*Assumptions!$B$60+MAX(1,('User Growth'!W18+'User Growth'!W19)*0.3+'User Growth'!W17*Assumptions!$B$27+'User Growth'!W18*Assumptions!$B$28)*Assumptions!$B$61,0)</f>
        <v/>
      </c>
      <c r="X32" s="15">
        <f>IF((X9*(1-Assumptions!$B$64)+X15+X20)&gt;0,(X9*(1-Assumptions!$B$64)+X15+X20)*Assumptions!$B$60+MAX(1,('User Growth'!X18+'User Growth'!X19)*0.3+'User Growth'!X17*Assumptions!$B$27+'User Growth'!X18*Assumptions!$B$28)*Assumptions!$B$61,0)</f>
        <v/>
      </c>
      <c r="Y32" s="15">
        <f>IF((Y9*(1-Assumptions!$B$64)+Y15+Y20)&gt;0,(Y9*(1-Assumptions!$B$64)+Y15+Y20)*Assumptions!$B$60+MAX(1,('User Growth'!Y18+'User Growth'!Y19)*0.3+'User Growth'!Y17*Assumptions!$B$27+'User Growth'!Y18*Assumptions!$B$28)*Assumptions!$B$61,0)</f>
        <v/>
      </c>
    </row>
    <row r="33">
      <c r="A33" s="3" t="inlineStr">
        <is>
          <t xml:space="preserve">  Total Platform Fees</t>
        </is>
      </c>
      <c r="B33" s="15">
        <f>B30+B31+B32</f>
        <v/>
      </c>
      <c r="C33" s="15">
        <f>C30+C31+C32</f>
        <v/>
      </c>
      <c r="D33" s="15">
        <f>D30+D31+D32</f>
        <v/>
      </c>
      <c r="E33" s="15">
        <f>E30+E31+E32</f>
        <v/>
      </c>
      <c r="F33" s="15">
        <f>F30+F31+F32</f>
        <v/>
      </c>
      <c r="G33" s="15">
        <f>G30+G31+G32</f>
        <v/>
      </c>
      <c r="H33" s="15">
        <f>H30+H31+H32</f>
        <v/>
      </c>
      <c r="I33" s="15">
        <f>I30+I31+I32</f>
        <v/>
      </c>
      <c r="J33" s="15">
        <f>J30+J31+J32</f>
        <v/>
      </c>
      <c r="K33" s="15">
        <f>K30+K31+K32</f>
        <v/>
      </c>
      <c r="L33" s="15">
        <f>L30+L31+L32</f>
        <v/>
      </c>
      <c r="M33" s="15">
        <f>M30+M31+M32</f>
        <v/>
      </c>
      <c r="N33" s="15">
        <f>N30+N31+N32</f>
        <v/>
      </c>
      <c r="O33" s="15">
        <f>O30+O31+O32</f>
        <v/>
      </c>
      <c r="P33" s="15">
        <f>P30+P31+P32</f>
        <v/>
      </c>
      <c r="Q33" s="15">
        <f>Q30+Q31+Q32</f>
        <v/>
      </c>
      <c r="R33" s="15">
        <f>R30+R31+R32</f>
        <v/>
      </c>
      <c r="S33" s="15">
        <f>S30+S31+S32</f>
        <v/>
      </c>
      <c r="T33" s="15">
        <f>T30+T31+T32</f>
        <v/>
      </c>
      <c r="U33" s="15">
        <f>U30+U31+U32</f>
        <v/>
      </c>
      <c r="V33" s="15">
        <f>V30+V31+V32</f>
        <v/>
      </c>
      <c r="W33" s="15">
        <f>W30+W31+W32</f>
        <v/>
      </c>
      <c r="X33" s="15">
        <f>X30+X31+X32</f>
        <v/>
      </c>
      <c r="Y33" s="15">
        <f>Y30+Y31+Y32</f>
        <v/>
      </c>
    </row>
    <row r="35">
      <c r="A35" s="17" t="inlineStr">
        <is>
          <t>NET REVENUE</t>
        </is>
      </c>
      <c r="B35" s="18">
        <f>B27-B33</f>
        <v/>
      </c>
      <c r="C35" s="18">
        <f>C27-C33</f>
        <v/>
      </c>
      <c r="D35" s="18">
        <f>D27-D33</f>
        <v/>
      </c>
      <c r="E35" s="18">
        <f>E27-E33</f>
        <v/>
      </c>
      <c r="F35" s="18">
        <f>F27-F33</f>
        <v/>
      </c>
      <c r="G35" s="18">
        <f>G27-G33</f>
        <v/>
      </c>
      <c r="H35" s="18">
        <f>H27-H33</f>
        <v/>
      </c>
      <c r="I35" s="18">
        <f>I27-I33</f>
        <v/>
      </c>
      <c r="J35" s="18">
        <f>J27-J33</f>
        <v/>
      </c>
      <c r="K35" s="18">
        <f>K27-K33</f>
        <v/>
      </c>
      <c r="L35" s="18">
        <f>L27-L33</f>
        <v/>
      </c>
      <c r="M35" s="18">
        <f>M27-M33</f>
        <v/>
      </c>
      <c r="N35" s="18">
        <f>N27-N33</f>
        <v/>
      </c>
      <c r="O35" s="18">
        <f>O27-O33</f>
        <v/>
      </c>
      <c r="P35" s="18">
        <f>P27-P33</f>
        <v/>
      </c>
      <c r="Q35" s="18">
        <f>Q27-Q33</f>
        <v/>
      </c>
      <c r="R35" s="18">
        <f>R27-R33</f>
        <v/>
      </c>
      <c r="S35" s="18">
        <f>S27-S33</f>
        <v/>
      </c>
      <c r="T35" s="18">
        <f>T27-T33</f>
        <v/>
      </c>
      <c r="U35" s="18">
        <f>U27-U33</f>
        <v/>
      </c>
      <c r="V35" s="18">
        <f>V27-V33</f>
        <v/>
      </c>
      <c r="W35" s="18">
        <f>W27-W33</f>
        <v/>
      </c>
      <c r="X35" s="18">
        <f>X27-X33</f>
        <v/>
      </c>
      <c r="Y35" s="18">
        <f>Y27-Y33</f>
        <v/>
      </c>
    </row>
    <row r="37">
      <c r="A37" s="2" t="inlineStr">
        <is>
          <t>REVENUE MIX (% of Gross)</t>
        </is>
      </c>
    </row>
    <row r="38">
      <c r="A38" s="3" t="inlineStr">
        <is>
          <t xml:space="preserve">  Subscription %</t>
        </is>
      </c>
      <c r="B38" s="16">
        <f>IF(B27&gt;0,B9/B27,0)</f>
        <v/>
      </c>
      <c r="C38" s="16">
        <f>IF(C27&gt;0,C9/C27,0)</f>
        <v/>
      </c>
      <c r="D38" s="16">
        <f>IF(D27&gt;0,D9/D27,0)</f>
        <v/>
      </c>
      <c r="E38" s="16">
        <f>IF(E27&gt;0,E9/E27,0)</f>
        <v/>
      </c>
      <c r="F38" s="16">
        <f>IF(F27&gt;0,F9/F27,0)</f>
        <v/>
      </c>
      <c r="G38" s="16">
        <f>IF(G27&gt;0,G9/G27,0)</f>
        <v/>
      </c>
      <c r="H38" s="16">
        <f>IF(H27&gt;0,H9/H27,0)</f>
        <v/>
      </c>
      <c r="I38" s="16">
        <f>IF(I27&gt;0,I9/I27,0)</f>
        <v/>
      </c>
      <c r="J38" s="16">
        <f>IF(J27&gt;0,J9/J27,0)</f>
        <v/>
      </c>
      <c r="K38" s="16">
        <f>IF(K27&gt;0,K9/K27,0)</f>
        <v/>
      </c>
      <c r="L38" s="16">
        <f>IF(L27&gt;0,L9/L27,0)</f>
        <v/>
      </c>
      <c r="M38" s="16">
        <f>IF(M27&gt;0,M9/M27,0)</f>
        <v/>
      </c>
      <c r="N38" s="16">
        <f>IF(N27&gt;0,N9/N27,0)</f>
        <v/>
      </c>
      <c r="O38" s="16">
        <f>IF(O27&gt;0,O9/O27,0)</f>
        <v/>
      </c>
      <c r="P38" s="16">
        <f>IF(P27&gt;0,P9/P27,0)</f>
        <v/>
      </c>
      <c r="Q38" s="16">
        <f>IF(Q27&gt;0,Q9/Q27,0)</f>
        <v/>
      </c>
      <c r="R38" s="16">
        <f>IF(R27&gt;0,R9/R27,0)</f>
        <v/>
      </c>
      <c r="S38" s="16">
        <f>IF(S27&gt;0,S9/S27,0)</f>
        <v/>
      </c>
      <c r="T38" s="16">
        <f>IF(T27&gt;0,T9/T27,0)</f>
        <v/>
      </c>
      <c r="U38" s="16">
        <f>IF(U27&gt;0,U9/U27,0)</f>
        <v/>
      </c>
      <c r="V38" s="16">
        <f>IF(V27&gt;0,V9/V27,0)</f>
        <v/>
      </c>
      <c r="W38" s="16">
        <f>IF(W27&gt;0,W9/W27,0)</f>
        <v/>
      </c>
      <c r="X38" s="16">
        <f>IF(X27&gt;0,X9/X27,0)</f>
        <v/>
      </c>
      <c r="Y38" s="16">
        <f>IF(Y27&gt;0,Y9/Y27,0)</f>
        <v/>
      </c>
    </row>
    <row r="39">
      <c r="A39" s="3" t="inlineStr">
        <is>
          <t xml:space="preserve">  Pay-Per-Use %</t>
        </is>
      </c>
      <c r="B39" s="16">
        <f>IF(B27&gt;0,B15/B27,0)</f>
        <v/>
      </c>
      <c r="C39" s="16">
        <f>IF(C27&gt;0,C15/C27,0)</f>
        <v/>
      </c>
      <c r="D39" s="16">
        <f>IF(D27&gt;0,D15/D27,0)</f>
        <v/>
      </c>
      <c r="E39" s="16">
        <f>IF(E27&gt;0,E15/E27,0)</f>
        <v/>
      </c>
      <c r="F39" s="16">
        <f>IF(F27&gt;0,F15/F27,0)</f>
        <v/>
      </c>
      <c r="G39" s="16">
        <f>IF(G27&gt;0,G15/G27,0)</f>
        <v/>
      </c>
      <c r="H39" s="16">
        <f>IF(H27&gt;0,H15/H27,0)</f>
        <v/>
      </c>
      <c r="I39" s="16">
        <f>IF(I27&gt;0,I15/I27,0)</f>
        <v/>
      </c>
      <c r="J39" s="16">
        <f>IF(J27&gt;0,J15/J27,0)</f>
        <v/>
      </c>
      <c r="K39" s="16">
        <f>IF(K27&gt;0,K15/K27,0)</f>
        <v/>
      </c>
      <c r="L39" s="16">
        <f>IF(L27&gt;0,L15/L27,0)</f>
        <v/>
      </c>
      <c r="M39" s="16">
        <f>IF(M27&gt;0,M15/M27,0)</f>
        <v/>
      </c>
      <c r="N39" s="16">
        <f>IF(N27&gt;0,N15/N27,0)</f>
        <v/>
      </c>
      <c r="O39" s="16">
        <f>IF(O27&gt;0,O15/O27,0)</f>
        <v/>
      </c>
      <c r="P39" s="16">
        <f>IF(P27&gt;0,P15/P27,0)</f>
        <v/>
      </c>
      <c r="Q39" s="16">
        <f>IF(Q27&gt;0,Q15/Q27,0)</f>
        <v/>
      </c>
      <c r="R39" s="16">
        <f>IF(R27&gt;0,R15/R27,0)</f>
        <v/>
      </c>
      <c r="S39" s="16">
        <f>IF(S27&gt;0,S15/S27,0)</f>
        <v/>
      </c>
      <c r="T39" s="16">
        <f>IF(T27&gt;0,T15/T27,0)</f>
        <v/>
      </c>
      <c r="U39" s="16">
        <f>IF(U27&gt;0,U15/U27,0)</f>
        <v/>
      </c>
      <c r="V39" s="16">
        <f>IF(V27&gt;0,V15/V27,0)</f>
        <v/>
      </c>
      <c r="W39" s="16">
        <f>IF(W27&gt;0,W15/W27,0)</f>
        <v/>
      </c>
      <c r="X39" s="16">
        <f>IF(X27&gt;0,X15/X27,0)</f>
        <v/>
      </c>
      <c r="Y39" s="16">
        <f>IF(Y27&gt;0,Y15/Y27,0)</f>
        <v/>
      </c>
    </row>
    <row r="40">
      <c r="A40" s="3" t="inlineStr">
        <is>
          <t xml:space="preserve">  DFS %</t>
        </is>
      </c>
      <c r="B40" s="16">
        <f>IF(B27&gt;0,B20/B27,0)</f>
        <v/>
      </c>
      <c r="C40" s="16">
        <f>IF(C27&gt;0,C20/C27,0)</f>
        <v/>
      </c>
      <c r="D40" s="16">
        <f>IF(D27&gt;0,D20/D27,0)</f>
        <v/>
      </c>
      <c r="E40" s="16">
        <f>IF(E27&gt;0,E20/E27,0)</f>
        <v/>
      </c>
      <c r="F40" s="16">
        <f>IF(F27&gt;0,F20/F27,0)</f>
        <v/>
      </c>
      <c r="G40" s="16">
        <f>IF(G27&gt;0,G20/G27,0)</f>
        <v/>
      </c>
      <c r="H40" s="16">
        <f>IF(H27&gt;0,H20/H27,0)</f>
        <v/>
      </c>
      <c r="I40" s="16">
        <f>IF(I27&gt;0,I20/I27,0)</f>
        <v/>
      </c>
      <c r="J40" s="16">
        <f>IF(J27&gt;0,J20/J27,0)</f>
        <v/>
      </c>
      <c r="K40" s="16">
        <f>IF(K27&gt;0,K20/K27,0)</f>
        <v/>
      </c>
      <c r="L40" s="16">
        <f>IF(L27&gt;0,L20/L27,0)</f>
        <v/>
      </c>
      <c r="M40" s="16">
        <f>IF(M27&gt;0,M20/M27,0)</f>
        <v/>
      </c>
      <c r="N40" s="16">
        <f>IF(N27&gt;0,N20/N27,0)</f>
        <v/>
      </c>
      <c r="O40" s="16">
        <f>IF(O27&gt;0,O20/O27,0)</f>
        <v/>
      </c>
      <c r="P40" s="16">
        <f>IF(P27&gt;0,P20/P27,0)</f>
        <v/>
      </c>
      <c r="Q40" s="16">
        <f>IF(Q27&gt;0,Q20/Q27,0)</f>
        <v/>
      </c>
      <c r="R40" s="16">
        <f>IF(R27&gt;0,R20/R27,0)</f>
        <v/>
      </c>
      <c r="S40" s="16">
        <f>IF(S27&gt;0,S20/S27,0)</f>
        <v/>
      </c>
      <c r="T40" s="16">
        <f>IF(T27&gt;0,T20/T27,0)</f>
        <v/>
      </c>
      <c r="U40" s="16">
        <f>IF(U27&gt;0,U20/U27,0)</f>
        <v/>
      </c>
      <c r="V40" s="16">
        <f>IF(V27&gt;0,V20/V27,0)</f>
        <v/>
      </c>
      <c r="W40" s="16">
        <f>IF(W27&gt;0,W20/W27,0)</f>
        <v/>
      </c>
      <c r="X40" s="16">
        <f>IF(X27&gt;0,X20/X27,0)</f>
        <v/>
      </c>
      <c r="Y40" s="16">
        <f>IF(Y27&gt;0,Y20/Y27,0)</f>
        <v/>
      </c>
    </row>
    <row r="41">
      <c r="A41" s="3" t="inlineStr">
        <is>
          <t xml:space="preserve">  Advertising %</t>
        </is>
      </c>
      <c r="B41" s="16">
        <f>IF(B27&gt;0,B25/B27,0)</f>
        <v/>
      </c>
      <c r="C41" s="16">
        <f>IF(C27&gt;0,C25/C27,0)</f>
        <v/>
      </c>
      <c r="D41" s="16">
        <f>IF(D27&gt;0,D25/D27,0)</f>
        <v/>
      </c>
      <c r="E41" s="16">
        <f>IF(E27&gt;0,E25/E27,0)</f>
        <v/>
      </c>
      <c r="F41" s="16">
        <f>IF(F27&gt;0,F25/F27,0)</f>
        <v/>
      </c>
      <c r="G41" s="16">
        <f>IF(G27&gt;0,G25/G27,0)</f>
        <v/>
      </c>
      <c r="H41" s="16">
        <f>IF(H27&gt;0,H25/H27,0)</f>
        <v/>
      </c>
      <c r="I41" s="16">
        <f>IF(I27&gt;0,I25/I27,0)</f>
        <v/>
      </c>
      <c r="J41" s="16">
        <f>IF(J27&gt;0,J25/J27,0)</f>
        <v/>
      </c>
      <c r="K41" s="16">
        <f>IF(K27&gt;0,K25/K27,0)</f>
        <v/>
      </c>
      <c r="L41" s="16">
        <f>IF(L27&gt;0,L25/L27,0)</f>
        <v/>
      </c>
      <c r="M41" s="16">
        <f>IF(M27&gt;0,M25/M27,0)</f>
        <v/>
      </c>
      <c r="N41" s="16">
        <f>IF(N27&gt;0,N25/N27,0)</f>
        <v/>
      </c>
      <c r="O41" s="16">
        <f>IF(O27&gt;0,O25/O27,0)</f>
        <v/>
      </c>
      <c r="P41" s="16">
        <f>IF(P27&gt;0,P25/P27,0)</f>
        <v/>
      </c>
      <c r="Q41" s="16">
        <f>IF(Q27&gt;0,Q25/Q27,0)</f>
        <v/>
      </c>
      <c r="R41" s="16">
        <f>IF(R27&gt;0,R25/R27,0)</f>
        <v/>
      </c>
      <c r="S41" s="16">
        <f>IF(S27&gt;0,S25/S27,0)</f>
        <v/>
      </c>
      <c r="T41" s="16">
        <f>IF(T27&gt;0,T25/T27,0)</f>
        <v/>
      </c>
      <c r="U41" s="16">
        <f>IF(U27&gt;0,U25/U27,0)</f>
        <v/>
      </c>
      <c r="V41" s="16">
        <f>IF(V27&gt;0,V25/V27,0)</f>
        <v/>
      </c>
      <c r="W41" s="16">
        <f>IF(W27&gt;0,W25/W27,0)</f>
        <v/>
      </c>
      <c r="X41" s="16">
        <f>IF(X27&gt;0,X25/X27,0)</f>
        <v/>
      </c>
      <c r="Y41" s="16">
        <f>IF(Y27&gt;0,Y25/Y27,0)</f>
        <v/>
      </c>
    </row>
    <row r="43">
      <c r="A43" s="17" t="inlineStr">
        <is>
          <t>MRR (Subscription Only)</t>
        </is>
      </c>
      <c r="B43" s="18">
        <f>B9</f>
        <v/>
      </c>
      <c r="C43" s="18">
        <f>C9</f>
        <v/>
      </c>
      <c r="D43" s="18">
        <f>D9</f>
        <v/>
      </c>
      <c r="E43" s="18">
        <f>E9</f>
        <v/>
      </c>
      <c r="F43" s="18">
        <f>F9</f>
        <v/>
      </c>
      <c r="G43" s="18">
        <f>G9</f>
        <v/>
      </c>
      <c r="H43" s="18">
        <f>H9</f>
        <v/>
      </c>
      <c r="I43" s="18">
        <f>I9</f>
        <v/>
      </c>
      <c r="J43" s="18">
        <f>J9</f>
        <v/>
      </c>
      <c r="K43" s="18">
        <f>K9</f>
        <v/>
      </c>
      <c r="L43" s="18">
        <f>L9</f>
        <v/>
      </c>
      <c r="M43" s="18">
        <f>M9</f>
        <v/>
      </c>
      <c r="N43" s="18">
        <f>N9</f>
        <v/>
      </c>
      <c r="O43" s="18">
        <f>O9</f>
        <v/>
      </c>
      <c r="P43" s="18">
        <f>P9</f>
        <v/>
      </c>
      <c r="Q43" s="18">
        <f>Q9</f>
        <v/>
      </c>
      <c r="R43" s="18">
        <f>R9</f>
        <v/>
      </c>
      <c r="S43" s="18">
        <f>S9</f>
        <v/>
      </c>
      <c r="T43" s="18">
        <f>T9</f>
        <v/>
      </c>
      <c r="U43" s="18">
        <f>U9</f>
        <v/>
      </c>
      <c r="V43" s="18">
        <f>V9</f>
        <v/>
      </c>
      <c r="W43" s="18">
        <f>W9</f>
        <v/>
      </c>
      <c r="X43" s="18">
        <f>X9</f>
        <v/>
      </c>
      <c r="Y43" s="18">
        <f>Y9</f>
        <v/>
      </c>
    </row>
    <row r="44">
      <c r="A44" s="17" t="inlineStr">
        <is>
          <t>ARR (= MRR x 12)</t>
        </is>
      </c>
      <c r="B44" s="18">
        <f>B9*12</f>
        <v/>
      </c>
      <c r="C44" s="18">
        <f>C9*12</f>
        <v/>
      </c>
      <c r="D44" s="18">
        <f>D9*12</f>
        <v/>
      </c>
      <c r="E44" s="18">
        <f>E9*12</f>
        <v/>
      </c>
      <c r="F44" s="18">
        <f>F9*12</f>
        <v/>
      </c>
      <c r="G44" s="18">
        <f>G9*12</f>
        <v/>
      </c>
      <c r="H44" s="18">
        <f>H9*12</f>
        <v/>
      </c>
      <c r="I44" s="18">
        <f>I9*12</f>
        <v/>
      </c>
      <c r="J44" s="18">
        <f>J9*12</f>
        <v/>
      </c>
      <c r="K44" s="18">
        <f>K9*12</f>
        <v/>
      </c>
      <c r="L44" s="18">
        <f>L9*12</f>
        <v/>
      </c>
      <c r="M44" s="18">
        <f>M9*12</f>
        <v/>
      </c>
      <c r="N44" s="18">
        <f>N9*12</f>
        <v/>
      </c>
      <c r="O44" s="18">
        <f>O9*12</f>
        <v/>
      </c>
      <c r="P44" s="18">
        <f>P9*12</f>
        <v/>
      </c>
      <c r="Q44" s="18">
        <f>Q9*12</f>
        <v/>
      </c>
      <c r="R44" s="18">
        <f>R9*12</f>
        <v/>
      </c>
      <c r="S44" s="18">
        <f>S9*12</f>
        <v/>
      </c>
      <c r="T44" s="18">
        <f>T9*12</f>
        <v/>
      </c>
      <c r="U44" s="18">
        <f>U9*12</f>
        <v/>
      </c>
      <c r="V44" s="18">
        <f>V9*12</f>
        <v/>
      </c>
      <c r="W44" s="18">
        <f>W9*12</f>
        <v/>
      </c>
      <c r="X44" s="18">
        <f>X9*12</f>
        <v/>
      </c>
      <c r="Y44" s="18">
        <f>Y9*12</f>
        <v/>
      </c>
    </row>
    <row r="45">
      <c r="A45" s="17" t="inlineStr">
        <is>
          <t>Cumulative Net Revenue</t>
        </is>
      </c>
      <c r="B45" s="18">
        <f>B35</f>
        <v/>
      </c>
      <c r="C45" s="18">
        <f>B45+C35</f>
        <v/>
      </c>
      <c r="D45" s="18">
        <f>C45+D35</f>
        <v/>
      </c>
      <c r="E45" s="18">
        <f>D45+E35</f>
        <v/>
      </c>
      <c r="F45" s="18">
        <f>E45+F35</f>
        <v/>
      </c>
      <c r="G45" s="18">
        <f>F45+G35</f>
        <v/>
      </c>
      <c r="H45" s="18">
        <f>G45+H35</f>
        <v/>
      </c>
      <c r="I45" s="18">
        <f>H45+I35</f>
        <v/>
      </c>
      <c r="J45" s="18">
        <f>I45+J35</f>
        <v/>
      </c>
      <c r="K45" s="18">
        <f>J45+K35</f>
        <v/>
      </c>
      <c r="L45" s="18">
        <f>K45+L35</f>
        <v/>
      </c>
      <c r="M45" s="18">
        <f>L45+M35</f>
        <v/>
      </c>
      <c r="N45" s="18">
        <f>M45+N35</f>
        <v/>
      </c>
      <c r="O45" s="18">
        <f>N45+O35</f>
        <v/>
      </c>
      <c r="P45" s="18">
        <f>O45+P35</f>
        <v/>
      </c>
      <c r="Q45" s="18">
        <f>P45+Q35</f>
        <v/>
      </c>
      <c r="R45" s="18">
        <f>Q45+R35</f>
        <v/>
      </c>
      <c r="S45" s="18">
        <f>R45+S35</f>
        <v/>
      </c>
      <c r="T45" s="18">
        <f>S45+T35</f>
        <v/>
      </c>
      <c r="U45" s="18">
        <f>T45+U35</f>
        <v/>
      </c>
      <c r="V45" s="18">
        <f>U45+V35</f>
        <v/>
      </c>
      <c r="W45" s="18">
        <f>V45+W35</f>
        <v/>
      </c>
      <c r="X45" s="18">
        <f>W45+X35</f>
        <v/>
      </c>
      <c r="Y45" s="18">
        <f>X45+Y35</f>
        <v/>
      </c>
    </row>
  </sheetData>
  <conditionalFormatting sqref="B8:Y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Cost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COST OF GOODS SOLD (COGS)</t>
        </is>
      </c>
    </row>
    <row r="3">
      <c r="A3" s="3" t="inlineStr">
        <is>
          <t xml:space="preserve">  Supabase (Database + Auth)</t>
        </is>
      </c>
      <c r="B3" s="15">
        <f>IF('User Growth'!B20&gt;Assumptions!$B$48,Assumptions!$B$47,Assumptions!$B$46)</f>
        <v/>
      </c>
      <c r="C3" s="15">
        <f>IF('User Growth'!C20&gt;Assumptions!$B$48,Assumptions!$B$47,Assumptions!$B$46)</f>
        <v/>
      </c>
      <c r="D3" s="15">
        <f>IF('User Growth'!D20&gt;Assumptions!$B$48,Assumptions!$B$47,Assumptions!$B$46)</f>
        <v/>
      </c>
      <c r="E3" s="15">
        <f>IF('User Growth'!E20&gt;Assumptions!$B$48,Assumptions!$B$47,Assumptions!$B$46)</f>
        <v/>
      </c>
      <c r="F3" s="15">
        <f>IF('User Growth'!F20&gt;Assumptions!$B$48,Assumptions!$B$47,Assumptions!$B$46)</f>
        <v/>
      </c>
      <c r="G3" s="15">
        <f>IF('User Growth'!G20&gt;Assumptions!$B$48,Assumptions!$B$47,Assumptions!$B$46)</f>
        <v/>
      </c>
      <c r="H3" s="15">
        <f>IF('User Growth'!H20&gt;Assumptions!$B$48,Assumptions!$B$47,Assumptions!$B$46)</f>
        <v/>
      </c>
      <c r="I3" s="15">
        <f>IF('User Growth'!I20&gt;Assumptions!$B$48,Assumptions!$B$47,Assumptions!$B$46)</f>
        <v/>
      </c>
      <c r="J3" s="15">
        <f>IF('User Growth'!J20&gt;Assumptions!$B$48,Assumptions!$B$47,Assumptions!$B$46)</f>
        <v/>
      </c>
      <c r="K3" s="15">
        <f>IF('User Growth'!K20&gt;Assumptions!$B$48,Assumptions!$B$47,Assumptions!$B$46)</f>
        <v/>
      </c>
      <c r="L3" s="15">
        <f>IF('User Growth'!L20&gt;Assumptions!$B$48,Assumptions!$B$47,Assumptions!$B$46)</f>
        <v/>
      </c>
      <c r="M3" s="15">
        <f>IF('User Growth'!M20&gt;Assumptions!$B$48,Assumptions!$B$47,Assumptions!$B$46)</f>
        <v/>
      </c>
      <c r="N3" s="15">
        <f>IF('User Growth'!N20&gt;Assumptions!$B$48,Assumptions!$B$47,Assumptions!$B$46)</f>
        <v/>
      </c>
      <c r="O3" s="15">
        <f>IF('User Growth'!O20&gt;Assumptions!$B$48,Assumptions!$B$47,Assumptions!$B$46)</f>
        <v/>
      </c>
      <c r="P3" s="15">
        <f>IF('User Growth'!P20&gt;Assumptions!$B$48,Assumptions!$B$47,Assumptions!$B$46)</f>
        <v/>
      </c>
      <c r="Q3" s="15">
        <f>IF('User Growth'!Q20&gt;Assumptions!$B$48,Assumptions!$B$47,Assumptions!$B$46)</f>
        <v/>
      </c>
      <c r="R3" s="15">
        <f>IF('User Growth'!R20&gt;Assumptions!$B$48,Assumptions!$B$47,Assumptions!$B$46)</f>
        <v/>
      </c>
      <c r="S3" s="15">
        <f>IF('User Growth'!S20&gt;Assumptions!$B$48,Assumptions!$B$47,Assumptions!$B$46)</f>
        <v/>
      </c>
      <c r="T3" s="15">
        <f>IF('User Growth'!T20&gt;Assumptions!$B$48,Assumptions!$B$47,Assumptions!$B$46)</f>
        <v/>
      </c>
      <c r="U3" s="15">
        <f>IF('User Growth'!U20&gt;Assumptions!$B$48,Assumptions!$B$47,Assumptions!$B$46)</f>
        <v/>
      </c>
      <c r="V3" s="15">
        <f>IF('User Growth'!V20&gt;Assumptions!$B$48,Assumptions!$B$47,Assumptions!$B$46)</f>
        <v/>
      </c>
      <c r="W3" s="15">
        <f>IF('User Growth'!W20&gt;Assumptions!$B$48,Assumptions!$B$47,Assumptions!$B$46)</f>
        <v/>
      </c>
      <c r="X3" s="15">
        <f>IF('User Growth'!X20&gt;Assumptions!$B$48,Assumptions!$B$47,Assumptions!$B$46)</f>
        <v/>
      </c>
      <c r="Y3" s="15">
        <f>IF('User Growth'!Y20&gt;Assumptions!$B$48,Assumptions!$B$47,Assumptions!$B$46)</f>
        <v/>
      </c>
    </row>
    <row r="4">
      <c r="A4" s="3" t="inlineStr">
        <is>
          <t xml:space="preserve">  Firebase Hosting</t>
        </is>
      </c>
      <c r="B4" s="19">
        <f>Assumptions!$B$49+MAX(0,'User Growth'!B20-1000)*Assumptions!$B$50</f>
        <v/>
      </c>
      <c r="C4" s="19">
        <f>Assumptions!$B$49+MAX(0,'User Growth'!C20-1000)*Assumptions!$B$50</f>
        <v/>
      </c>
      <c r="D4" s="19">
        <f>Assumptions!$B$49+MAX(0,'User Growth'!D20-1000)*Assumptions!$B$50</f>
        <v/>
      </c>
      <c r="E4" s="19">
        <f>Assumptions!$B$49+MAX(0,'User Growth'!E20-1000)*Assumptions!$B$50</f>
        <v/>
      </c>
      <c r="F4" s="19">
        <f>Assumptions!$B$49+MAX(0,'User Growth'!F20-1000)*Assumptions!$B$50</f>
        <v/>
      </c>
      <c r="G4" s="19">
        <f>Assumptions!$B$49+MAX(0,'User Growth'!G20-1000)*Assumptions!$B$50</f>
        <v/>
      </c>
      <c r="H4" s="19">
        <f>Assumptions!$B$49+MAX(0,'User Growth'!H20-1000)*Assumptions!$B$50</f>
        <v/>
      </c>
      <c r="I4" s="19">
        <f>Assumptions!$B$49+MAX(0,'User Growth'!I20-1000)*Assumptions!$B$50</f>
        <v/>
      </c>
      <c r="J4" s="19">
        <f>Assumptions!$B$49+MAX(0,'User Growth'!J20-1000)*Assumptions!$B$50</f>
        <v/>
      </c>
      <c r="K4" s="19">
        <f>Assumptions!$B$49+MAX(0,'User Growth'!K20-1000)*Assumptions!$B$50</f>
        <v/>
      </c>
      <c r="L4" s="19">
        <f>Assumptions!$B$49+MAX(0,'User Growth'!L20-1000)*Assumptions!$B$50</f>
        <v/>
      </c>
      <c r="M4" s="19">
        <f>Assumptions!$B$49+MAX(0,'User Growth'!M20-1000)*Assumptions!$B$50</f>
        <v/>
      </c>
      <c r="N4" s="19">
        <f>Assumptions!$B$49+MAX(0,'User Growth'!N20-1000)*Assumptions!$B$50</f>
        <v/>
      </c>
      <c r="O4" s="19">
        <f>Assumptions!$B$49+MAX(0,'User Growth'!O20-1000)*Assumptions!$B$50</f>
        <v/>
      </c>
      <c r="P4" s="19">
        <f>Assumptions!$B$49+MAX(0,'User Growth'!P20-1000)*Assumptions!$B$50</f>
        <v/>
      </c>
      <c r="Q4" s="19">
        <f>Assumptions!$B$49+MAX(0,'User Growth'!Q20-1000)*Assumptions!$B$50</f>
        <v/>
      </c>
      <c r="R4" s="19">
        <f>Assumptions!$B$49+MAX(0,'User Growth'!R20-1000)*Assumptions!$B$50</f>
        <v/>
      </c>
      <c r="S4" s="19">
        <f>Assumptions!$B$49+MAX(0,'User Growth'!S20-1000)*Assumptions!$B$50</f>
        <v/>
      </c>
      <c r="T4" s="19">
        <f>Assumptions!$B$49+MAX(0,'User Growth'!T20-1000)*Assumptions!$B$50</f>
        <v/>
      </c>
      <c r="U4" s="19">
        <f>Assumptions!$B$49+MAX(0,'User Growth'!U20-1000)*Assumptions!$B$50</f>
        <v/>
      </c>
      <c r="V4" s="19">
        <f>Assumptions!$B$49+MAX(0,'User Growth'!V20-1000)*Assumptions!$B$50</f>
        <v/>
      </c>
      <c r="W4" s="19">
        <f>Assumptions!$B$49+MAX(0,'User Growth'!W20-1000)*Assumptions!$B$50</f>
        <v/>
      </c>
      <c r="X4" s="19">
        <f>Assumptions!$B$49+MAX(0,'User Growth'!X20-1000)*Assumptions!$B$50</f>
        <v/>
      </c>
      <c r="Y4" s="19">
        <f>Assumptions!$B$49+MAX(0,'User Growth'!Y20-1000)*Assumptions!$B$50</f>
        <v/>
      </c>
    </row>
    <row r="5">
      <c r="A5" s="3" t="inlineStr">
        <is>
          <t xml:space="preserve">  Claude API (Stormy AI)</t>
        </is>
      </c>
      <c r="B5" s="19">
        <f>('User Growth'!B18*Assumptions!$B$52+'User Growth'!B19*Assumptions!$B$53)*Assumptions!$B$51</f>
        <v/>
      </c>
      <c r="C5" s="19">
        <f>('User Growth'!C18*Assumptions!$B$52+'User Growth'!C19*Assumptions!$B$53)*Assumptions!$B$51</f>
        <v/>
      </c>
      <c r="D5" s="19">
        <f>('User Growth'!D18*Assumptions!$B$52+'User Growth'!D19*Assumptions!$B$53)*Assumptions!$B$51</f>
        <v/>
      </c>
      <c r="E5" s="19">
        <f>('User Growth'!E18*Assumptions!$B$52+'User Growth'!E19*Assumptions!$B$53)*Assumptions!$B$51</f>
        <v/>
      </c>
      <c r="F5" s="19">
        <f>('User Growth'!F18*Assumptions!$B$52+'User Growth'!F19*Assumptions!$B$53)*Assumptions!$B$51</f>
        <v/>
      </c>
      <c r="G5" s="19">
        <f>('User Growth'!G18*Assumptions!$B$52+'User Growth'!G19*Assumptions!$B$53)*Assumptions!$B$51</f>
        <v/>
      </c>
      <c r="H5" s="19">
        <f>('User Growth'!H18*Assumptions!$B$52+'User Growth'!H19*Assumptions!$B$53)*Assumptions!$B$51</f>
        <v/>
      </c>
      <c r="I5" s="19">
        <f>('User Growth'!I18*Assumptions!$B$52+'User Growth'!I19*Assumptions!$B$53)*Assumptions!$B$51</f>
        <v/>
      </c>
      <c r="J5" s="19">
        <f>('User Growth'!J18*Assumptions!$B$52+'User Growth'!J19*Assumptions!$B$53)*Assumptions!$B$51</f>
        <v/>
      </c>
      <c r="K5" s="19">
        <f>('User Growth'!K18*Assumptions!$B$52+'User Growth'!K19*Assumptions!$B$53)*Assumptions!$B$51</f>
        <v/>
      </c>
      <c r="L5" s="19">
        <f>('User Growth'!L18*Assumptions!$B$52+'User Growth'!L19*Assumptions!$B$53)*Assumptions!$B$51</f>
        <v/>
      </c>
      <c r="M5" s="19">
        <f>('User Growth'!M18*Assumptions!$B$52+'User Growth'!M19*Assumptions!$B$53)*Assumptions!$B$51</f>
        <v/>
      </c>
      <c r="N5" s="19">
        <f>('User Growth'!N18*Assumptions!$B$52+'User Growth'!N19*Assumptions!$B$53)*Assumptions!$B$51</f>
        <v/>
      </c>
      <c r="O5" s="19">
        <f>('User Growth'!O18*Assumptions!$B$52+'User Growth'!O19*Assumptions!$B$53)*Assumptions!$B$51</f>
        <v/>
      </c>
      <c r="P5" s="19">
        <f>('User Growth'!P18*Assumptions!$B$52+'User Growth'!P19*Assumptions!$B$53)*Assumptions!$B$51</f>
        <v/>
      </c>
      <c r="Q5" s="19">
        <f>('User Growth'!Q18*Assumptions!$B$52+'User Growth'!Q19*Assumptions!$B$53)*Assumptions!$B$51</f>
        <v/>
      </c>
      <c r="R5" s="19">
        <f>('User Growth'!R18*Assumptions!$B$52+'User Growth'!R19*Assumptions!$B$53)*Assumptions!$B$51</f>
        <v/>
      </c>
      <c r="S5" s="19">
        <f>('User Growth'!S18*Assumptions!$B$52+'User Growth'!S19*Assumptions!$B$53)*Assumptions!$B$51</f>
        <v/>
      </c>
      <c r="T5" s="19">
        <f>('User Growth'!T18*Assumptions!$B$52+'User Growth'!T19*Assumptions!$B$53)*Assumptions!$B$51</f>
        <v/>
      </c>
      <c r="U5" s="19">
        <f>('User Growth'!U18*Assumptions!$B$52+'User Growth'!U19*Assumptions!$B$53)*Assumptions!$B$51</f>
        <v/>
      </c>
      <c r="V5" s="19">
        <f>('User Growth'!V18*Assumptions!$B$52+'User Growth'!V19*Assumptions!$B$53)*Assumptions!$B$51</f>
        <v/>
      </c>
      <c r="W5" s="19">
        <f>('User Growth'!W18*Assumptions!$B$52+'User Growth'!W19*Assumptions!$B$53)*Assumptions!$B$51</f>
        <v/>
      </c>
      <c r="X5" s="19">
        <f>('User Growth'!X18*Assumptions!$B$52+'User Growth'!X19*Assumptions!$B$53)*Assumptions!$B$51</f>
        <v/>
      </c>
      <c r="Y5" s="19">
        <f>('User Growth'!Y18*Assumptions!$B$52+'User Growth'!Y19*Assumptions!$B$53)*Assumptions!$B$51</f>
        <v/>
      </c>
    </row>
    <row r="6">
      <c r="A6" s="3" t="inlineStr">
        <is>
          <t xml:space="preserve">  Proxy Rotation (Data Pipeline)</t>
        </is>
      </c>
      <c r="B6" s="15">
        <f>Assumptions!$B$54</f>
        <v/>
      </c>
      <c r="C6" s="15">
        <f>Assumptions!$B$54</f>
        <v/>
      </c>
      <c r="D6" s="15">
        <f>Assumptions!$B$54</f>
        <v/>
      </c>
      <c r="E6" s="15">
        <f>Assumptions!$B$54</f>
        <v/>
      </c>
      <c r="F6" s="15">
        <f>Assumptions!$B$54</f>
        <v/>
      </c>
      <c r="G6" s="15">
        <f>Assumptions!$B$54</f>
        <v/>
      </c>
      <c r="H6" s="15">
        <f>Assumptions!$B$54</f>
        <v/>
      </c>
      <c r="I6" s="15">
        <f>Assumptions!$B$54</f>
        <v/>
      </c>
      <c r="J6" s="15">
        <f>Assumptions!$B$54</f>
        <v/>
      </c>
      <c r="K6" s="15">
        <f>Assumptions!$B$54</f>
        <v/>
      </c>
      <c r="L6" s="15">
        <f>Assumptions!$B$54</f>
        <v/>
      </c>
      <c r="M6" s="15">
        <f>Assumptions!$B$54</f>
        <v/>
      </c>
      <c r="N6" s="15">
        <f>Assumptions!$B$54</f>
        <v/>
      </c>
      <c r="O6" s="15">
        <f>Assumptions!$B$54</f>
        <v/>
      </c>
      <c r="P6" s="15">
        <f>Assumptions!$B$54</f>
        <v/>
      </c>
      <c r="Q6" s="15">
        <f>Assumptions!$B$54</f>
        <v/>
      </c>
      <c r="R6" s="15">
        <f>Assumptions!$B$54</f>
        <v/>
      </c>
      <c r="S6" s="15">
        <f>Assumptions!$B$54</f>
        <v/>
      </c>
      <c r="T6" s="15">
        <f>Assumptions!$B$54</f>
        <v/>
      </c>
      <c r="U6" s="15">
        <f>Assumptions!$B$54</f>
        <v/>
      </c>
      <c r="V6" s="15">
        <f>Assumptions!$B$54</f>
        <v/>
      </c>
      <c r="W6" s="15">
        <f>Assumptions!$B$54</f>
        <v/>
      </c>
      <c r="X6" s="15">
        <f>Assumptions!$B$54</f>
        <v/>
      </c>
      <c r="Y6" s="15">
        <f>Assumptions!$B$54</f>
        <v/>
      </c>
    </row>
    <row r="7">
      <c r="A7" s="3" t="inlineStr">
        <is>
          <t xml:space="preserve">  Domain / SSL / Misc</t>
        </is>
      </c>
      <c r="B7" s="15">
        <f>Assumptions!$B$55</f>
        <v/>
      </c>
      <c r="C7" s="15">
        <f>Assumptions!$B$55</f>
        <v/>
      </c>
      <c r="D7" s="15">
        <f>Assumptions!$B$55</f>
        <v/>
      </c>
      <c r="E7" s="15">
        <f>Assumptions!$B$55</f>
        <v/>
      </c>
      <c r="F7" s="15">
        <f>Assumptions!$B$55</f>
        <v/>
      </c>
      <c r="G7" s="15">
        <f>Assumptions!$B$55</f>
        <v/>
      </c>
      <c r="H7" s="15">
        <f>Assumptions!$B$55</f>
        <v/>
      </c>
      <c r="I7" s="15">
        <f>Assumptions!$B$55</f>
        <v/>
      </c>
      <c r="J7" s="15">
        <f>Assumptions!$B$55</f>
        <v/>
      </c>
      <c r="K7" s="15">
        <f>Assumptions!$B$55</f>
        <v/>
      </c>
      <c r="L7" s="15">
        <f>Assumptions!$B$55</f>
        <v/>
      </c>
      <c r="M7" s="15">
        <f>Assumptions!$B$55</f>
        <v/>
      </c>
      <c r="N7" s="15">
        <f>Assumptions!$B$55</f>
        <v/>
      </c>
      <c r="O7" s="15">
        <f>Assumptions!$B$55</f>
        <v/>
      </c>
      <c r="P7" s="15">
        <f>Assumptions!$B$55</f>
        <v/>
      </c>
      <c r="Q7" s="15">
        <f>Assumptions!$B$55</f>
        <v/>
      </c>
      <c r="R7" s="15">
        <f>Assumptions!$B$55</f>
        <v/>
      </c>
      <c r="S7" s="15">
        <f>Assumptions!$B$55</f>
        <v/>
      </c>
      <c r="T7" s="15">
        <f>Assumptions!$B$55</f>
        <v/>
      </c>
      <c r="U7" s="15">
        <f>Assumptions!$B$55</f>
        <v/>
      </c>
      <c r="V7" s="15">
        <f>Assumptions!$B$55</f>
        <v/>
      </c>
      <c r="W7" s="15">
        <f>Assumptions!$B$55</f>
        <v/>
      </c>
      <c r="X7" s="15">
        <f>Assumptions!$B$55</f>
        <v/>
      </c>
      <c r="Y7" s="15">
        <f>Assumptions!$B$55</f>
        <v/>
      </c>
    </row>
    <row r="8">
      <c r="A8" s="17" t="inlineStr">
        <is>
          <t xml:space="preserve">  TOTAL COGS</t>
        </is>
      </c>
      <c r="B8" s="18">
        <f>B3+B4+B5+B6+B7</f>
        <v/>
      </c>
      <c r="C8" s="18">
        <f>C3+C4+C5+C6+C7</f>
        <v/>
      </c>
      <c r="D8" s="18">
        <f>D3+D4+D5+D6+D7</f>
        <v/>
      </c>
      <c r="E8" s="18">
        <f>E3+E4+E5+E6+E7</f>
        <v/>
      </c>
      <c r="F8" s="18">
        <f>F3+F4+F5+F6+F7</f>
        <v/>
      </c>
      <c r="G8" s="18">
        <f>G3+G4+G5+G6+G7</f>
        <v/>
      </c>
      <c r="H8" s="18">
        <f>H3+H4+H5+H6+H7</f>
        <v/>
      </c>
      <c r="I8" s="18">
        <f>I3+I4+I5+I6+I7</f>
        <v/>
      </c>
      <c r="J8" s="18">
        <f>J3+J4+J5+J6+J7</f>
        <v/>
      </c>
      <c r="K8" s="18">
        <f>K3+K4+K5+K6+K7</f>
        <v/>
      </c>
      <c r="L8" s="18">
        <f>L3+L4+L5+L6+L7</f>
        <v/>
      </c>
      <c r="M8" s="18">
        <f>M3+M4+M5+M6+M7</f>
        <v/>
      </c>
      <c r="N8" s="18">
        <f>N3+N4+N5+N6+N7</f>
        <v/>
      </c>
      <c r="O8" s="18">
        <f>O3+O4+O5+O6+O7</f>
        <v/>
      </c>
      <c r="P8" s="18">
        <f>P3+P4+P5+P6+P7</f>
        <v/>
      </c>
      <c r="Q8" s="18">
        <f>Q3+Q4+Q5+Q6+Q7</f>
        <v/>
      </c>
      <c r="R8" s="18">
        <f>R3+R4+R5+R6+R7</f>
        <v/>
      </c>
      <c r="S8" s="18">
        <f>S3+S4+S5+S6+S7</f>
        <v/>
      </c>
      <c r="T8" s="18">
        <f>T3+T4+T5+T6+T7</f>
        <v/>
      </c>
      <c r="U8" s="18">
        <f>U3+U4+U5+U6+U7</f>
        <v/>
      </c>
      <c r="V8" s="18">
        <f>V3+V4+V5+V6+V7</f>
        <v/>
      </c>
      <c r="W8" s="18">
        <f>W3+W4+W5+W6+W7</f>
        <v/>
      </c>
      <c r="X8" s="18">
        <f>X3+X4+X5+X6+X7</f>
        <v/>
      </c>
      <c r="Y8" s="18">
        <f>Y3+Y4+Y5+Y6+Y7</f>
        <v/>
      </c>
    </row>
    <row r="10">
      <c r="A10" s="17" t="inlineStr">
        <is>
          <t>GROSS PROFIT</t>
        </is>
      </c>
      <c r="B10" s="18">
        <f>Revenue!B35-B8</f>
        <v/>
      </c>
      <c r="C10" s="18">
        <f>Revenue!C35-C8</f>
        <v/>
      </c>
      <c r="D10" s="18">
        <f>Revenue!D35-D8</f>
        <v/>
      </c>
      <c r="E10" s="18">
        <f>Revenue!E35-E8</f>
        <v/>
      </c>
      <c r="F10" s="18">
        <f>Revenue!F35-F8</f>
        <v/>
      </c>
      <c r="G10" s="18">
        <f>Revenue!G35-G8</f>
        <v/>
      </c>
      <c r="H10" s="18">
        <f>Revenue!H35-H8</f>
        <v/>
      </c>
      <c r="I10" s="18">
        <f>Revenue!I35-I8</f>
        <v/>
      </c>
      <c r="J10" s="18">
        <f>Revenue!J35-J8</f>
        <v/>
      </c>
      <c r="K10" s="18">
        <f>Revenue!K35-K8</f>
        <v/>
      </c>
      <c r="L10" s="18">
        <f>Revenue!L35-L8</f>
        <v/>
      </c>
      <c r="M10" s="18">
        <f>Revenue!M35-M8</f>
        <v/>
      </c>
      <c r="N10" s="18">
        <f>Revenue!N35-N8</f>
        <v/>
      </c>
      <c r="O10" s="18">
        <f>Revenue!O35-O8</f>
        <v/>
      </c>
      <c r="P10" s="18">
        <f>Revenue!P35-P8</f>
        <v/>
      </c>
      <c r="Q10" s="18">
        <f>Revenue!Q35-Q8</f>
        <v/>
      </c>
      <c r="R10" s="18">
        <f>Revenue!R35-R8</f>
        <v/>
      </c>
      <c r="S10" s="18">
        <f>Revenue!S35-S8</f>
        <v/>
      </c>
      <c r="T10" s="18">
        <f>Revenue!T35-T8</f>
        <v/>
      </c>
      <c r="U10" s="18">
        <f>Revenue!U35-U8</f>
        <v/>
      </c>
      <c r="V10" s="18">
        <f>Revenue!V35-V8</f>
        <v/>
      </c>
      <c r="W10" s="18">
        <f>Revenue!W35-W8</f>
        <v/>
      </c>
      <c r="X10" s="18">
        <f>Revenue!X35-X8</f>
        <v/>
      </c>
      <c r="Y10" s="18">
        <f>Revenue!Y35-Y8</f>
        <v/>
      </c>
    </row>
    <row r="11">
      <c r="A11" s="3" t="inlineStr">
        <is>
          <t>GROSS MARGIN %</t>
        </is>
      </c>
      <c r="B11" s="16">
        <f>IF(Revenue!B35&lt;&gt;0,B10/Revenue!B35,0)</f>
        <v/>
      </c>
      <c r="C11" s="16">
        <f>IF(Revenue!C35&lt;&gt;0,C10/Revenue!C35,0)</f>
        <v/>
      </c>
      <c r="D11" s="16">
        <f>IF(Revenue!D35&lt;&gt;0,D10/Revenue!D35,0)</f>
        <v/>
      </c>
      <c r="E11" s="16">
        <f>IF(Revenue!E35&lt;&gt;0,E10/Revenue!E35,0)</f>
        <v/>
      </c>
      <c r="F11" s="16">
        <f>IF(Revenue!F35&lt;&gt;0,F10/Revenue!F35,0)</f>
        <v/>
      </c>
      <c r="G11" s="16">
        <f>IF(Revenue!G35&lt;&gt;0,G10/Revenue!G35,0)</f>
        <v/>
      </c>
      <c r="H11" s="16">
        <f>IF(Revenue!H35&lt;&gt;0,H10/Revenue!H35,0)</f>
        <v/>
      </c>
      <c r="I11" s="16">
        <f>IF(Revenue!I35&lt;&gt;0,I10/Revenue!I35,0)</f>
        <v/>
      </c>
      <c r="J11" s="16">
        <f>IF(Revenue!J35&lt;&gt;0,J10/Revenue!J35,0)</f>
        <v/>
      </c>
      <c r="K11" s="16">
        <f>IF(Revenue!K35&lt;&gt;0,K10/Revenue!K35,0)</f>
        <v/>
      </c>
      <c r="L11" s="16">
        <f>IF(Revenue!L35&lt;&gt;0,L10/Revenue!L35,0)</f>
        <v/>
      </c>
      <c r="M11" s="16">
        <f>IF(Revenue!M35&lt;&gt;0,M10/Revenue!M35,0)</f>
        <v/>
      </c>
      <c r="N11" s="16">
        <f>IF(Revenue!N35&lt;&gt;0,N10/Revenue!N35,0)</f>
        <v/>
      </c>
      <c r="O11" s="16">
        <f>IF(Revenue!O35&lt;&gt;0,O10/Revenue!O35,0)</f>
        <v/>
      </c>
      <c r="P11" s="16">
        <f>IF(Revenue!P35&lt;&gt;0,P10/Revenue!P35,0)</f>
        <v/>
      </c>
      <c r="Q11" s="16">
        <f>IF(Revenue!Q35&lt;&gt;0,Q10/Revenue!Q35,0)</f>
        <v/>
      </c>
      <c r="R11" s="16">
        <f>IF(Revenue!R35&lt;&gt;0,R10/Revenue!R35,0)</f>
        <v/>
      </c>
      <c r="S11" s="16">
        <f>IF(Revenue!S35&lt;&gt;0,S10/Revenue!S35,0)</f>
        <v/>
      </c>
      <c r="T11" s="16">
        <f>IF(Revenue!T35&lt;&gt;0,T10/Revenue!T35,0)</f>
        <v/>
      </c>
      <c r="U11" s="16">
        <f>IF(Revenue!U35&lt;&gt;0,U10/Revenue!U35,0)</f>
        <v/>
      </c>
      <c r="V11" s="16">
        <f>IF(Revenue!V35&lt;&gt;0,V10/Revenue!V35,0)</f>
        <v/>
      </c>
      <c r="W11" s="16">
        <f>IF(Revenue!W35&lt;&gt;0,W10/Revenue!W35,0)</f>
        <v/>
      </c>
      <c r="X11" s="16">
        <f>IF(Revenue!X35&lt;&gt;0,X10/Revenue!X35,0)</f>
        <v/>
      </c>
      <c r="Y11" s="16">
        <f>IF(Revenue!Y35&lt;&gt;0,Y10/Revenue!Y35,0)</f>
        <v/>
      </c>
    </row>
    <row r="13">
      <c r="A13" s="2" t="inlineStr">
        <is>
          <t>OPERATING EXPENSES (OPEX)</t>
        </is>
      </c>
    </row>
    <row r="14">
      <c r="A14" s="2" t="inlineStr">
        <is>
          <t xml:space="preserve">  SALES &amp; MARKETING</t>
        </is>
      </c>
    </row>
    <row r="15">
      <c r="A15" s="3" t="inlineStr">
        <is>
          <t xml:space="preserve">    Digital Marketing</t>
        </is>
      </c>
      <c r="B15" s="15">
        <f>IF(COLUMN()-2&gt;=Assumptions!$B$69,'User Growth'!B3*Assumptions!$B$70,0)</f>
        <v/>
      </c>
      <c r="C15" s="15">
        <f>IF(COLUMN()-2&gt;=Assumptions!$B$69,'User Growth'!C3*Assumptions!$B$70,0)</f>
        <v/>
      </c>
      <c r="D15" s="15">
        <f>IF(COLUMN()-2&gt;=Assumptions!$B$69,'User Growth'!D3*Assumptions!$B$70,0)</f>
        <v/>
      </c>
      <c r="E15" s="15">
        <f>IF(COLUMN()-2&gt;=Assumptions!$B$69,'User Growth'!E3*Assumptions!$B$70,0)</f>
        <v/>
      </c>
      <c r="F15" s="15">
        <f>IF(COLUMN()-2&gt;=Assumptions!$B$69,'User Growth'!F3*Assumptions!$B$70,0)</f>
        <v/>
      </c>
      <c r="G15" s="15">
        <f>IF(COLUMN()-2&gt;=Assumptions!$B$69,'User Growth'!G3*Assumptions!$B$70,0)</f>
        <v/>
      </c>
      <c r="H15" s="15">
        <f>IF(COLUMN()-2&gt;=Assumptions!$B$69,'User Growth'!H3*Assumptions!$B$70,0)</f>
        <v/>
      </c>
      <c r="I15" s="15">
        <f>IF(COLUMN()-2&gt;=Assumptions!$B$69,'User Growth'!I3*Assumptions!$B$70,0)</f>
        <v/>
      </c>
      <c r="J15" s="15">
        <f>IF(COLUMN()-2&gt;=Assumptions!$B$69,'User Growth'!J3*Assumptions!$B$70,0)</f>
        <v/>
      </c>
      <c r="K15" s="15">
        <f>IF(COLUMN()-2&gt;=Assumptions!$B$69,'User Growth'!K3*Assumptions!$B$70,0)</f>
        <v/>
      </c>
      <c r="L15" s="15">
        <f>IF(COLUMN()-2&gt;=Assumptions!$B$69,'User Growth'!L3*Assumptions!$B$70,0)</f>
        <v/>
      </c>
      <c r="M15" s="15">
        <f>IF(COLUMN()-2&gt;=Assumptions!$B$69,'User Growth'!M3*Assumptions!$B$70,0)</f>
        <v/>
      </c>
      <c r="N15" s="15">
        <f>IF(COLUMN()-2&gt;=Assumptions!$B$69,'User Growth'!N3*Assumptions!$B$70,0)</f>
        <v/>
      </c>
      <c r="O15" s="15">
        <f>IF(COLUMN()-2&gt;=Assumptions!$B$69,'User Growth'!O3*Assumptions!$B$70,0)</f>
        <v/>
      </c>
      <c r="P15" s="15">
        <f>IF(COLUMN()-2&gt;=Assumptions!$B$69,'User Growth'!P3*Assumptions!$B$70,0)</f>
        <v/>
      </c>
      <c r="Q15" s="15">
        <f>IF(COLUMN()-2&gt;=Assumptions!$B$69,'User Growth'!Q3*Assumptions!$B$70,0)</f>
        <v/>
      </c>
      <c r="R15" s="15">
        <f>IF(COLUMN()-2&gt;=Assumptions!$B$69,'User Growth'!R3*Assumptions!$B$70,0)</f>
        <v/>
      </c>
      <c r="S15" s="15">
        <f>IF(COLUMN()-2&gt;=Assumptions!$B$69,'User Growth'!S3*Assumptions!$B$70,0)</f>
        <v/>
      </c>
      <c r="T15" s="15">
        <f>IF(COLUMN()-2&gt;=Assumptions!$B$69,'User Growth'!T3*Assumptions!$B$70,0)</f>
        <v/>
      </c>
      <c r="U15" s="15">
        <f>IF(COLUMN()-2&gt;=Assumptions!$B$69,'User Growth'!U3*Assumptions!$B$70,0)</f>
        <v/>
      </c>
      <c r="V15" s="15">
        <f>IF(COLUMN()-2&gt;=Assumptions!$B$69,'User Growth'!V3*Assumptions!$B$70,0)</f>
        <v/>
      </c>
      <c r="W15" s="15">
        <f>IF(COLUMN()-2&gt;=Assumptions!$B$69,'User Growth'!W3*Assumptions!$B$70,0)</f>
        <v/>
      </c>
      <c r="X15" s="15">
        <f>IF(COLUMN()-2&gt;=Assumptions!$B$69,'User Growth'!X3*Assumptions!$B$70,0)</f>
        <v/>
      </c>
      <c r="Y15" s="15">
        <f>IF(COLUMN()-2&gt;=Assumptions!$B$69,'User Growth'!Y3*Assumptions!$B$70,0)</f>
        <v/>
      </c>
    </row>
    <row r="16">
      <c r="A16" s="3" t="inlineStr">
        <is>
          <t xml:space="preserve">    Content Marketing</t>
        </is>
      </c>
      <c r="B16" s="15">
        <f>IF(COLUMN()-2&gt;=Assumptions!$B$69,IF(COLUMN()&lt;14,Assumptions!$B$71,Assumptions!$B$72),0)</f>
        <v/>
      </c>
      <c r="C16" s="15">
        <f>IF(COLUMN()-2&gt;=Assumptions!$B$69,IF(COLUMN()&lt;14,Assumptions!$B$71,Assumptions!$B$72),0)</f>
        <v/>
      </c>
      <c r="D16" s="15">
        <f>IF(COLUMN()-2&gt;=Assumptions!$B$69,IF(COLUMN()&lt;14,Assumptions!$B$71,Assumptions!$B$72),0)</f>
        <v/>
      </c>
      <c r="E16" s="15">
        <f>IF(COLUMN()-2&gt;=Assumptions!$B$69,IF(COLUMN()&lt;14,Assumptions!$B$71,Assumptions!$B$72),0)</f>
        <v/>
      </c>
      <c r="F16" s="15">
        <f>IF(COLUMN()-2&gt;=Assumptions!$B$69,IF(COLUMN()&lt;14,Assumptions!$B$71,Assumptions!$B$72),0)</f>
        <v/>
      </c>
      <c r="G16" s="15">
        <f>IF(COLUMN()-2&gt;=Assumptions!$B$69,IF(COLUMN()&lt;14,Assumptions!$B$71,Assumptions!$B$72),0)</f>
        <v/>
      </c>
      <c r="H16" s="15">
        <f>IF(COLUMN()-2&gt;=Assumptions!$B$69,IF(COLUMN()&lt;14,Assumptions!$B$71,Assumptions!$B$72),0)</f>
        <v/>
      </c>
      <c r="I16" s="15">
        <f>IF(COLUMN()-2&gt;=Assumptions!$B$69,IF(COLUMN()&lt;14,Assumptions!$B$71,Assumptions!$B$72),0)</f>
        <v/>
      </c>
      <c r="J16" s="15">
        <f>IF(COLUMN()-2&gt;=Assumptions!$B$69,IF(COLUMN()&lt;14,Assumptions!$B$71,Assumptions!$B$72),0)</f>
        <v/>
      </c>
      <c r="K16" s="15">
        <f>IF(COLUMN()-2&gt;=Assumptions!$B$69,IF(COLUMN()&lt;14,Assumptions!$B$71,Assumptions!$B$72),0)</f>
        <v/>
      </c>
      <c r="L16" s="15">
        <f>IF(COLUMN()-2&gt;=Assumptions!$B$69,IF(COLUMN()&lt;14,Assumptions!$B$71,Assumptions!$B$72),0)</f>
        <v/>
      </c>
      <c r="M16" s="15">
        <f>IF(COLUMN()-2&gt;=Assumptions!$B$69,IF(COLUMN()&lt;14,Assumptions!$B$71,Assumptions!$B$72),0)</f>
        <v/>
      </c>
      <c r="N16" s="15">
        <f>IF(COLUMN()-2&gt;=Assumptions!$B$69,IF(COLUMN()&lt;14,Assumptions!$B$71,Assumptions!$B$72),0)</f>
        <v/>
      </c>
      <c r="O16" s="15">
        <f>IF(COLUMN()-2&gt;=Assumptions!$B$69,IF(COLUMN()&lt;14,Assumptions!$B$71,Assumptions!$B$72),0)</f>
        <v/>
      </c>
      <c r="P16" s="15">
        <f>IF(COLUMN()-2&gt;=Assumptions!$B$69,IF(COLUMN()&lt;14,Assumptions!$B$71,Assumptions!$B$72),0)</f>
        <v/>
      </c>
      <c r="Q16" s="15">
        <f>IF(COLUMN()-2&gt;=Assumptions!$B$69,IF(COLUMN()&lt;14,Assumptions!$B$71,Assumptions!$B$72),0)</f>
        <v/>
      </c>
      <c r="R16" s="15">
        <f>IF(COLUMN()-2&gt;=Assumptions!$B$69,IF(COLUMN()&lt;14,Assumptions!$B$71,Assumptions!$B$72),0)</f>
        <v/>
      </c>
      <c r="S16" s="15">
        <f>IF(COLUMN()-2&gt;=Assumptions!$B$69,IF(COLUMN()&lt;14,Assumptions!$B$71,Assumptions!$B$72),0)</f>
        <v/>
      </c>
      <c r="T16" s="15">
        <f>IF(COLUMN()-2&gt;=Assumptions!$B$69,IF(COLUMN()&lt;14,Assumptions!$B$71,Assumptions!$B$72),0)</f>
        <v/>
      </c>
      <c r="U16" s="15">
        <f>IF(COLUMN()-2&gt;=Assumptions!$B$69,IF(COLUMN()&lt;14,Assumptions!$B$71,Assumptions!$B$72),0)</f>
        <v/>
      </c>
      <c r="V16" s="15">
        <f>IF(COLUMN()-2&gt;=Assumptions!$B$69,IF(COLUMN()&lt;14,Assumptions!$B$71,Assumptions!$B$72),0)</f>
        <v/>
      </c>
      <c r="W16" s="15">
        <f>IF(COLUMN()-2&gt;=Assumptions!$B$69,IF(COLUMN()&lt;14,Assumptions!$B$71,Assumptions!$B$72),0)</f>
        <v/>
      </c>
      <c r="X16" s="15">
        <f>IF(COLUMN()-2&gt;=Assumptions!$B$69,IF(COLUMN()&lt;14,Assumptions!$B$71,Assumptions!$B$72),0)</f>
        <v/>
      </c>
      <c r="Y16" s="15">
        <f>IF(COLUMN()-2&gt;=Assumptions!$B$69,IF(COLUMN()&lt;14,Assumptions!$B$71,Assumptions!$B$72),0)</f>
        <v/>
      </c>
    </row>
    <row r="17">
      <c r="A17" s="17" t="inlineStr">
        <is>
          <t xml:space="preserve">    Total Sales &amp; Marketing</t>
        </is>
      </c>
      <c r="B17" s="18">
        <f>B15+B16</f>
        <v/>
      </c>
      <c r="C17" s="18">
        <f>C15+C16</f>
        <v/>
      </c>
      <c r="D17" s="18">
        <f>D15+D16</f>
        <v/>
      </c>
      <c r="E17" s="18">
        <f>E15+E16</f>
        <v/>
      </c>
      <c r="F17" s="18">
        <f>F15+F16</f>
        <v/>
      </c>
      <c r="G17" s="18">
        <f>G15+G16</f>
        <v/>
      </c>
      <c r="H17" s="18">
        <f>H15+H16</f>
        <v/>
      </c>
      <c r="I17" s="18">
        <f>I15+I16</f>
        <v/>
      </c>
      <c r="J17" s="18">
        <f>J15+J16</f>
        <v/>
      </c>
      <c r="K17" s="18">
        <f>K15+K16</f>
        <v/>
      </c>
      <c r="L17" s="18">
        <f>L15+L16</f>
        <v/>
      </c>
      <c r="M17" s="18">
        <f>M15+M16</f>
        <v/>
      </c>
      <c r="N17" s="18">
        <f>N15+N16</f>
        <v/>
      </c>
      <c r="O17" s="18">
        <f>O15+O16</f>
        <v/>
      </c>
      <c r="P17" s="18">
        <f>P15+P16</f>
        <v/>
      </c>
      <c r="Q17" s="18">
        <f>Q15+Q16</f>
        <v/>
      </c>
      <c r="R17" s="18">
        <f>R15+R16</f>
        <v/>
      </c>
      <c r="S17" s="18">
        <f>S15+S16</f>
        <v/>
      </c>
      <c r="T17" s="18">
        <f>T15+T16</f>
        <v/>
      </c>
      <c r="U17" s="18">
        <f>U15+U16</f>
        <v/>
      </c>
      <c r="V17" s="18">
        <f>V15+V16</f>
        <v/>
      </c>
      <c r="W17" s="18">
        <f>W15+W16</f>
        <v/>
      </c>
      <c r="X17" s="18">
        <f>X15+X16</f>
        <v/>
      </c>
      <c r="Y17" s="18">
        <f>Y15+Y16</f>
        <v/>
      </c>
    </row>
    <row r="19">
      <c r="A19" s="2" t="inlineStr">
        <is>
          <t xml:space="preserve">  GENERAL &amp; ADMINISTRATIVE</t>
        </is>
      </c>
    </row>
    <row r="20">
      <c r="A20" s="3" t="inlineStr">
        <is>
          <t xml:space="preserve">    Contractors / Team</t>
        </is>
      </c>
      <c r="B20" s="15">
        <f>IF(COLUMN()-2&lt;6,Assumptions!$B$75,IF(COLUMN()-2&lt;12,Assumptions!$B$76,IF(COLUMN()-2&lt;18,Assumptions!$B$77,Assumptions!$B$78)))</f>
        <v/>
      </c>
      <c r="C20" s="15">
        <f>IF(COLUMN()-2&lt;6,Assumptions!$B$75,IF(COLUMN()-2&lt;12,Assumptions!$B$76,IF(COLUMN()-2&lt;18,Assumptions!$B$77,Assumptions!$B$78)))</f>
        <v/>
      </c>
      <c r="D20" s="15">
        <f>IF(COLUMN()-2&lt;6,Assumptions!$B$75,IF(COLUMN()-2&lt;12,Assumptions!$B$76,IF(COLUMN()-2&lt;18,Assumptions!$B$77,Assumptions!$B$78)))</f>
        <v/>
      </c>
      <c r="E20" s="15">
        <f>IF(COLUMN()-2&lt;6,Assumptions!$B$75,IF(COLUMN()-2&lt;12,Assumptions!$B$76,IF(COLUMN()-2&lt;18,Assumptions!$B$77,Assumptions!$B$78)))</f>
        <v/>
      </c>
      <c r="F20" s="15">
        <f>IF(COLUMN()-2&lt;6,Assumptions!$B$75,IF(COLUMN()-2&lt;12,Assumptions!$B$76,IF(COLUMN()-2&lt;18,Assumptions!$B$77,Assumptions!$B$78)))</f>
        <v/>
      </c>
      <c r="G20" s="15">
        <f>IF(COLUMN()-2&lt;6,Assumptions!$B$75,IF(COLUMN()-2&lt;12,Assumptions!$B$76,IF(COLUMN()-2&lt;18,Assumptions!$B$77,Assumptions!$B$78)))</f>
        <v/>
      </c>
      <c r="H20" s="15">
        <f>IF(COLUMN()-2&lt;6,Assumptions!$B$75,IF(COLUMN()-2&lt;12,Assumptions!$B$76,IF(COLUMN()-2&lt;18,Assumptions!$B$77,Assumptions!$B$78)))</f>
        <v/>
      </c>
      <c r="I20" s="15">
        <f>IF(COLUMN()-2&lt;6,Assumptions!$B$75,IF(COLUMN()-2&lt;12,Assumptions!$B$76,IF(COLUMN()-2&lt;18,Assumptions!$B$77,Assumptions!$B$78)))</f>
        <v/>
      </c>
      <c r="J20" s="15">
        <f>IF(COLUMN()-2&lt;6,Assumptions!$B$75,IF(COLUMN()-2&lt;12,Assumptions!$B$76,IF(COLUMN()-2&lt;18,Assumptions!$B$77,Assumptions!$B$78)))</f>
        <v/>
      </c>
      <c r="K20" s="15">
        <f>IF(COLUMN()-2&lt;6,Assumptions!$B$75,IF(COLUMN()-2&lt;12,Assumptions!$B$76,IF(COLUMN()-2&lt;18,Assumptions!$B$77,Assumptions!$B$78)))</f>
        <v/>
      </c>
      <c r="L20" s="15">
        <f>IF(COLUMN()-2&lt;6,Assumptions!$B$75,IF(COLUMN()-2&lt;12,Assumptions!$B$76,IF(COLUMN()-2&lt;18,Assumptions!$B$77,Assumptions!$B$78)))</f>
        <v/>
      </c>
      <c r="M20" s="15">
        <f>IF(COLUMN()-2&lt;6,Assumptions!$B$75,IF(COLUMN()-2&lt;12,Assumptions!$B$76,IF(COLUMN()-2&lt;18,Assumptions!$B$77,Assumptions!$B$78)))</f>
        <v/>
      </c>
      <c r="N20" s="15">
        <f>IF(COLUMN()-2&lt;6,Assumptions!$B$75,IF(COLUMN()-2&lt;12,Assumptions!$B$76,IF(COLUMN()-2&lt;18,Assumptions!$B$77,Assumptions!$B$78)))</f>
        <v/>
      </c>
      <c r="O20" s="15">
        <f>IF(COLUMN()-2&lt;6,Assumptions!$B$75,IF(COLUMN()-2&lt;12,Assumptions!$B$76,IF(COLUMN()-2&lt;18,Assumptions!$B$77,Assumptions!$B$78)))</f>
        <v/>
      </c>
      <c r="P20" s="15">
        <f>IF(COLUMN()-2&lt;6,Assumptions!$B$75,IF(COLUMN()-2&lt;12,Assumptions!$B$76,IF(COLUMN()-2&lt;18,Assumptions!$B$77,Assumptions!$B$78)))</f>
        <v/>
      </c>
      <c r="Q20" s="15">
        <f>IF(COLUMN()-2&lt;6,Assumptions!$B$75,IF(COLUMN()-2&lt;12,Assumptions!$B$76,IF(COLUMN()-2&lt;18,Assumptions!$B$77,Assumptions!$B$78)))</f>
        <v/>
      </c>
      <c r="R20" s="15">
        <f>IF(COLUMN()-2&lt;6,Assumptions!$B$75,IF(COLUMN()-2&lt;12,Assumptions!$B$76,IF(COLUMN()-2&lt;18,Assumptions!$B$77,Assumptions!$B$78)))</f>
        <v/>
      </c>
      <c r="S20" s="15">
        <f>IF(COLUMN()-2&lt;6,Assumptions!$B$75,IF(COLUMN()-2&lt;12,Assumptions!$B$76,IF(COLUMN()-2&lt;18,Assumptions!$B$77,Assumptions!$B$78)))</f>
        <v/>
      </c>
      <c r="T20" s="15">
        <f>IF(COLUMN()-2&lt;6,Assumptions!$B$75,IF(COLUMN()-2&lt;12,Assumptions!$B$76,IF(COLUMN()-2&lt;18,Assumptions!$B$77,Assumptions!$B$78)))</f>
        <v/>
      </c>
      <c r="U20" s="15">
        <f>IF(COLUMN()-2&lt;6,Assumptions!$B$75,IF(COLUMN()-2&lt;12,Assumptions!$B$76,IF(COLUMN()-2&lt;18,Assumptions!$B$77,Assumptions!$B$78)))</f>
        <v/>
      </c>
      <c r="V20" s="15">
        <f>IF(COLUMN()-2&lt;6,Assumptions!$B$75,IF(COLUMN()-2&lt;12,Assumptions!$B$76,IF(COLUMN()-2&lt;18,Assumptions!$B$77,Assumptions!$B$78)))</f>
        <v/>
      </c>
      <c r="W20" s="15">
        <f>IF(COLUMN()-2&lt;6,Assumptions!$B$75,IF(COLUMN()-2&lt;12,Assumptions!$B$76,IF(COLUMN()-2&lt;18,Assumptions!$B$77,Assumptions!$B$78)))</f>
        <v/>
      </c>
      <c r="X20" s="15">
        <f>IF(COLUMN()-2&lt;6,Assumptions!$B$75,IF(COLUMN()-2&lt;12,Assumptions!$B$76,IF(COLUMN()-2&lt;18,Assumptions!$B$77,Assumptions!$B$78)))</f>
        <v/>
      </c>
      <c r="Y20" s="15">
        <f>IF(COLUMN()-2&lt;6,Assumptions!$B$75,IF(COLUMN()-2&lt;12,Assumptions!$B$76,IF(COLUMN()-2&lt;18,Assumptions!$B$77,Assumptions!$B$78)))</f>
        <v/>
      </c>
    </row>
    <row r="21">
      <c r="A21" s="3" t="inlineStr">
        <is>
          <t xml:space="preserve">    Legal &amp; Accounting (Basic)</t>
        </is>
      </c>
      <c r="B21" s="15">
        <f>IF(COLUMN()&lt;14,Assumptions!$B$81,Assumptions!$B$82)</f>
        <v/>
      </c>
      <c r="C21" s="15">
        <f>IF(COLUMN()&lt;14,Assumptions!$B$81,Assumptions!$B$82)</f>
        <v/>
      </c>
      <c r="D21" s="15">
        <f>IF(COLUMN()&lt;14,Assumptions!$B$81,Assumptions!$B$82)</f>
        <v/>
      </c>
      <c r="E21" s="15">
        <f>IF(COLUMN()&lt;14,Assumptions!$B$81,Assumptions!$B$82)</f>
        <v/>
      </c>
      <c r="F21" s="15">
        <f>IF(COLUMN()&lt;14,Assumptions!$B$81,Assumptions!$B$82)</f>
        <v/>
      </c>
      <c r="G21" s="15">
        <f>IF(COLUMN()&lt;14,Assumptions!$B$81,Assumptions!$B$82)</f>
        <v/>
      </c>
      <c r="H21" s="15">
        <f>IF(COLUMN()&lt;14,Assumptions!$B$81,Assumptions!$B$82)</f>
        <v/>
      </c>
      <c r="I21" s="15">
        <f>IF(COLUMN()&lt;14,Assumptions!$B$81,Assumptions!$B$82)</f>
        <v/>
      </c>
      <c r="J21" s="15">
        <f>IF(COLUMN()&lt;14,Assumptions!$B$81,Assumptions!$B$82)</f>
        <v/>
      </c>
      <c r="K21" s="15">
        <f>IF(COLUMN()&lt;14,Assumptions!$B$81,Assumptions!$B$82)</f>
        <v/>
      </c>
      <c r="L21" s="15">
        <f>IF(COLUMN()&lt;14,Assumptions!$B$81,Assumptions!$B$82)</f>
        <v/>
      </c>
      <c r="M21" s="15">
        <f>IF(COLUMN()&lt;14,Assumptions!$B$81,Assumptions!$B$82)</f>
        <v/>
      </c>
      <c r="N21" s="15">
        <f>IF(COLUMN()&lt;14,Assumptions!$B$81,Assumptions!$B$82)</f>
        <v/>
      </c>
      <c r="O21" s="15">
        <f>IF(COLUMN()&lt;14,Assumptions!$B$81,Assumptions!$B$82)</f>
        <v/>
      </c>
      <c r="P21" s="15">
        <f>IF(COLUMN()&lt;14,Assumptions!$B$81,Assumptions!$B$82)</f>
        <v/>
      </c>
      <c r="Q21" s="15">
        <f>IF(COLUMN()&lt;14,Assumptions!$B$81,Assumptions!$B$82)</f>
        <v/>
      </c>
      <c r="R21" s="15">
        <f>IF(COLUMN()&lt;14,Assumptions!$B$81,Assumptions!$B$82)</f>
        <v/>
      </c>
      <c r="S21" s="15">
        <f>IF(COLUMN()&lt;14,Assumptions!$B$81,Assumptions!$B$82)</f>
        <v/>
      </c>
      <c r="T21" s="15">
        <f>IF(COLUMN()&lt;14,Assumptions!$B$81,Assumptions!$B$82)</f>
        <v/>
      </c>
      <c r="U21" s="15">
        <f>IF(COLUMN()&lt;14,Assumptions!$B$81,Assumptions!$B$82)</f>
        <v/>
      </c>
      <c r="V21" s="15">
        <f>IF(COLUMN()&lt;14,Assumptions!$B$81,Assumptions!$B$82)</f>
        <v/>
      </c>
      <c r="W21" s="15">
        <f>IF(COLUMN()&lt;14,Assumptions!$B$81,Assumptions!$B$82)</f>
        <v/>
      </c>
      <c r="X21" s="15">
        <f>IF(COLUMN()&lt;14,Assumptions!$B$81,Assumptions!$B$82)</f>
        <v/>
      </c>
      <c r="Y21" s="15">
        <f>IF(COLUMN()&lt;14,Assumptions!$B$81,Assumptions!$B$82)</f>
        <v/>
      </c>
    </row>
    <row r="22">
      <c r="A22" s="3" t="inlineStr">
        <is>
          <t xml:space="preserve">    DFS Regulatory / Licensing</t>
        </is>
      </c>
      <c r="B22" s="15">
        <f>IF('User Growth'!B20&gt;=Assumptions!$B$85,Assumptions!$B$86+Assumptions!$B$87+Assumptions!$B$88+Assumptions!$B$89,0)</f>
        <v/>
      </c>
      <c r="C22" s="15">
        <f>IF('User Growth'!C20&gt;=Assumptions!$B$85,Assumptions!$B$86+Assumptions!$B$87+Assumptions!$B$88+Assumptions!$B$89,0)</f>
        <v/>
      </c>
      <c r="D22" s="15">
        <f>IF('User Growth'!D20&gt;=Assumptions!$B$85,Assumptions!$B$86+Assumptions!$B$87+Assumptions!$B$88+Assumptions!$B$89,0)</f>
        <v/>
      </c>
      <c r="E22" s="15">
        <f>IF('User Growth'!E20&gt;=Assumptions!$B$85,Assumptions!$B$86+Assumptions!$B$87+Assumptions!$B$88+Assumptions!$B$89,0)</f>
        <v/>
      </c>
      <c r="F22" s="15">
        <f>IF('User Growth'!F20&gt;=Assumptions!$B$85,Assumptions!$B$86+Assumptions!$B$87+Assumptions!$B$88+Assumptions!$B$89,0)</f>
        <v/>
      </c>
      <c r="G22" s="15">
        <f>IF('User Growth'!G20&gt;=Assumptions!$B$85,Assumptions!$B$86+Assumptions!$B$87+Assumptions!$B$88+Assumptions!$B$89,0)</f>
        <v/>
      </c>
      <c r="H22" s="15">
        <f>IF('User Growth'!H20&gt;=Assumptions!$B$85,Assumptions!$B$86+Assumptions!$B$87+Assumptions!$B$88+Assumptions!$B$89,0)</f>
        <v/>
      </c>
      <c r="I22" s="15">
        <f>IF('User Growth'!I20&gt;=Assumptions!$B$85,Assumptions!$B$86+Assumptions!$B$87+Assumptions!$B$88+Assumptions!$B$89,0)</f>
        <v/>
      </c>
      <c r="J22" s="15">
        <f>IF('User Growth'!J20&gt;=Assumptions!$B$85,Assumptions!$B$86+Assumptions!$B$87+Assumptions!$B$88+Assumptions!$B$89,0)</f>
        <v/>
      </c>
      <c r="K22" s="15">
        <f>IF('User Growth'!K20&gt;=Assumptions!$B$85,Assumptions!$B$86+Assumptions!$B$87+Assumptions!$B$88+Assumptions!$B$89,0)</f>
        <v/>
      </c>
      <c r="L22" s="15">
        <f>IF('User Growth'!L20&gt;=Assumptions!$B$85,Assumptions!$B$86+Assumptions!$B$87+Assumptions!$B$88+Assumptions!$B$89,0)</f>
        <v/>
      </c>
      <c r="M22" s="15">
        <f>IF('User Growth'!M20&gt;=Assumptions!$B$85,Assumptions!$B$86+Assumptions!$B$87+Assumptions!$B$88+Assumptions!$B$89,0)</f>
        <v/>
      </c>
      <c r="N22" s="15">
        <f>IF('User Growth'!N20&gt;=Assumptions!$B$85,Assumptions!$B$86+Assumptions!$B$87+Assumptions!$B$88+Assumptions!$B$89,0)</f>
        <v/>
      </c>
      <c r="O22" s="15">
        <f>IF('User Growth'!O20&gt;=Assumptions!$B$85,Assumptions!$B$86+Assumptions!$B$87+Assumptions!$B$88+Assumptions!$B$89,0)</f>
        <v/>
      </c>
      <c r="P22" s="15">
        <f>IF('User Growth'!P20&gt;=Assumptions!$B$85,Assumptions!$B$86+Assumptions!$B$87+Assumptions!$B$88+Assumptions!$B$89,0)</f>
        <v/>
      </c>
      <c r="Q22" s="15">
        <f>IF('User Growth'!Q20&gt;=Assumptions!$B$85,Assumptions!$B$86+Assumptions!$B$87+Assumptions!$B$88+Assumptions!$B$89,0)</f>
        <v/>
      </c>
      <c r="R22" s="15">
        <f>IF('User Growth'!R20&gt;=Assumptions!$B$85,Assumptions!$B$86+Assumptions!$B$87+Assumptions!$B$88+Assumptions!$B$89,0)</f>
        <v/>
      </c>
      <c r="S22" s="15">
        <f>IF('User Growth'!S20&gt;=Assumptions!$B$85,Assumptions!$B$86+Assumptions!$B$87+Assumptions!$B$88+Assumptions!$B$89,0)</f>
        <v/>
      </c>
      <c r="T22" s="15">
        <f>IF('User Growth'!T20&gt;=Assumptions!$B$85,Assumptions!$B$86+Assumptions!$B$87+Assumptions!$B$88+Assumptions!$B$89,0)</f>
        <v/>
      </c>
      <c r="U22" s="15">
        <f>IF('User Growth'!U20&gt;=Assumptions!$B$85,Assumptions!$B$86+Assumptions!$B$87+Assumptions!$B$88+Assumptions!$B$89,0)</f>
        <v/>
      </c>
      <c r="V22" s="15">
        <f>IF('User Growth'!V20&gt;=Assumptions!$B$85,Assumptions!$B$86+Assumptions!$B$87+Assumptions!$B$88+Assumptions!$B$89,0)</f>
        <v/>
      </c>
      <c r="W22" s="15">
        <f>IF('User Growth'!W20&gt;=Assumptions!$B$85,Assumptions!$B$86+Assumptions!$B$87+Assumptions!$B$88+Assumptions!$B$89,0)</f>
        <v/>
      </c>
      <c r="X22" s="15">
        <f>IF('User Growth'!X20&gt;=Assumptions!$B$85,Assumptions!$B$86+Assumptions!$B$87+Assumptions!$B$88+Assumptions!$B$89,0)</f>
        <v/>
      </c>
      <c r="Y22" s="15">
        <f>IF('User Growth'!Y20&gt;=Assumptions!$B$85,Assumptions!$B$86+Assumptions!$B$87+Assumptions!$B$88+Assumptions!$B$89,0)</f>
        <v/>
      </c>
    </row>
    <row r="23">
      <c r="A23" s="3" t="inlineStr">
        <is>
          <t xml:space="preserve">    Apple Developer Program</t>
        </is>
      </c>
      <c r="B23" s="19">
        <f>Assumptions!$B$65/12</f>
        <v/>
      </c>
      <c r="C23" s="19">
        <f>Assumptions!$B$65/12</f>
        <v/>
      </c>
      <c r="D23" s="19">
        <f>Assumptions!$B$65/12</f>
        <v/>
      </c>
      <c r="E23" s="19">
        <f>Assumptions!$B$65/12</f>
        <v/>
      </c>
      <c r="F23" s="19">
        <f>Assumptions!$B$65/12</f>
        <v/>
      </c>
      <c r="G23" s="19">
        <f>Assumptions!$B$65/12</f>
        <v/>
      </c>
      <c r="H23" s="19">
        <f>Assumptions!$B$65/12</f>
        <v/>
      </c>
      <c r="I23" s="19">
        <f>Assumptions!$B$65/12</f>
        <v/>
      </c>
      <c r="J23" s="19">
        <f>Assumptions!$B$65/12</f>
        <v/>
      </c>
      <c r="K23" s="19">
        <f>Assumptions!$B$65/12</f>
        <v/>
      </c>
      <c r="L23" s="19">
        <f>Assumptions!$B$65/12</f>
        <v/>
      </c>
      <c r="M23" s="19">
        <f>Assumptions!$B$65/12</f>
        <v/>
      </c>
      <c r="N23" s="19">
        <f>Assumptions!$B$65/12</f>
        <v/>
      </c>
      <c r="O23" s="19">
        <f>Assumptions!$B$65/12</f>
        <v/>
      </c>
      <c r="P23" s="19">
        <f>Assumptions!$B$65/12</f>
        <v/>
      </c>
      <c r="Q23" s="19">
        <f>Assumptions!$B$65/12</f>
        <v/>
      </c>
      <c r="R23" s="19">
        <f>Assumptions!$B$65/12</f>
        <v/>
      </c>
      <c r="S23" s="19">
        <f>Assumptions!$B$65/12</f>
        <v/>
      </c>
      <c r="T23" s="19">
        <f>Assumptions!$B$65/12</f>
        <v/>
      </c>
      <c r="U23" s="19">
        <f>Assumptions!$B$65/12</f>
        <v/>
      </c>
      <c r="V23" s="19">
        <f>Assumptions!$B$65/12</f>
        <v/>
      </c>
      <c r="W23" s="19">
        <f>Assumptions!$B$65/12</f>
        <v/>
      </c>
      <c r="X23" s="19">
        <f>Assumptions!$B$65/12</f>
        <v/>
      </c>
      <c r="Y23" s="19">
        <f>Assumptions!$B$65/12</f>
        <v/>
      </c>
    </row>
    <row r="24">
      <c r="A24" s="3" t="inlineStr">
        <is>
          <t xml:space="preserve">    Google Play Registration</t>
        </is>
      </c>
      <c r="B24" s="15">
        <f>IF(COLUMN()=2,Assumptions!$B$66,0)</f>
        <v/>
      </c>
      <c r="C24" s="15">
        <f>IF(COLUMN()=2,Assumptions!$B$66,0)</f>
        <v/>
      </c>
      <c r="D24" s="15">
        <f>IF(COLUMN()=2,Assumptions!$B$66,0)</f>
        <v/>
      </c>
      <c r="E24" s="15">
        <f>IF(COLUMN()=2,Assumptions!$B$66,0)</f>
        <v/>
      </c>
      <c r="F24" s="15">
        <f>IF(COLUMN()=2,Assumptions!$B$66,0)</f>
        <v/>
      </c>
      <c r="G24" s="15">
        <f>IF(COLUMN()=2,Assumptions!$B$66,0)</f>
        <v/>
      </c>
      <c r="H24" s="15">
        <f>IF(COLUMN()=2,Assumptions!$B$66,0)</f>
        <v/>
      </c>
      <c r="I24" s="15">
        <f>IF(COLUMN()=2,Assumptions!$B$66,0)</f>
        <v/>
      </c>
      <c r="J24" s="15">
        <f>IF(COLUMN()=2,Assumptions!$B$66,0)</f>
        <v/>
      </c>
      <c r="K24" s="15">
        <f>IF(COLUMN()=2,Assumptions!$B$66,0)</f>
        <v/>
      </c>
      <c r="L24" s="15">
        <f>IF(COLUMN()=2,Assumptions!$B$66,0)</f>
        <v/>
      </c>
      <c r="M24" s="15">
        <f>IF(COLUMN()=2,Assumptions!$B$66,0)</f>
        <v/>
      </c>
      <c r="N24" s="15">
        <f>IF(COLUMN()=2,Assumptions!$B$66,0)</f>
        <v/>
      </c>
      <c r="O24" s="15">
        <f>IF(COLUMN()=2,Assumptions!$B$66,0)</f>
        <v/>
      </c>
      <c r="P24" s="15">
        <f>IF(COLUMN()=2,Assumptions!$B$66,0)</f>
        <v/>
      </c>
      <c r="Q24" s="15">
        <f>IF(COLUMN()=2,Assumptions!$B$66,0)</f>
        <v/>
      </c>
      <c r="R24" s="15">
        <f>IF(COLUMN()=2,Assumptions!$B$66,0)</f>
        <v/>
      </c>
      <c r="S24" s="15">
        <f>IF(COLUMN()=2,Assumptions!$B$66,0)</f>
        <v/>
      </c>
      <c r="T24" s="15">
        <f>IF(COLUMN()=2,Assumptions!$B$66,0)</f>
        <v/>
      </c>
      <c r="U24" s="15">
        <f>IF(COLUMN()=2,Assumptions!$B$66,0)</f>
        <v/>
      </c>
      <c r="V24" s="15">
        <f>IF(COLUMN()=2,Assumptions!$B$66,0)</f>
        <v/>
      </c>
      <c r="W24" s="15">
        <f>IF(COLUMN()=2,Assumptions!$B$66,0)</f>
        <v/>
      </c>
      <c r="X24" s="15">
        <f>IF(COLUMN()=2,Assumptions!$B$66,0)</f>
        <v/>
      </c>
      <c r="Y24" s="15">
        <f>IF(COLUMN()=2,Assumptions!$B$66,0)</f>
        <v/>
      </c>
    </row>
    <row r="25">
      <c r="A25" s="17" t="inlineStr">
        <is>
          <t xml:space="preserve">    Total G&amp;A</t>
        </is>
      </c>
      <c r="B25" s="18">
        <f>B20+B21+B22+B23+B24</f>
        <v/>
      </c>
      <c r="C25" s="18">
        <f>C20+C21+C22+C23+C24</f>
        <v/>
      </c>
      <c r="D25" s="18">
        <f>D20+D21+D22+D23+D24</f>
        <v/>
      </c>
      <c r="E25" s="18">
        <f>E20+E21+E22+E23+E24</f>
        <v/>
      </c>
      <c r="F25" s="18">
        <f>F20+F21+F22+F23+F24</f>
        <v/>
      </c>
      <c r="G25" s="18">
        <f>G20+G21+G22+G23+G24</f>
        <v/>
      </c>
      <c r="H25" s="18">
        <f>H20+H21+H22+H23+H24</f>
        <v/>
      </c>
      <c r="I25" s="18">
        <f>I20+I21+I22+I23+I24</f>
        <v/>
      </c>
      <c r="J25" s="18">
        <f>J20+J21+J22+J23+J24</f>
        <v/>
      </c>
      <c r="K25" s="18">
        <f>K20+K21+K22+K23+K24</f>
        <v/>
      </c>
      <c r="L25" s="18">
        <f>L20+L21+L22+L23+L24</f>
        <v/>
      </c>
      <c r="M25" s="18">
        <f>M20+M21+M22+M23+M24</f>
        <v/>
      </c>
      <c r="N25" s="18">
        <f>N20+N21+N22+N23+N24</f>
        <v/>
      </c>
      <c r="O25" s="18">
        <f>O20+O21+O22+O23+O24</f>
        <v/>
      </c>
      <c r="P25" s="18">
        <f>P20+P21+P22+P23+P24</f>
        <v/>
      </c>
      <c r="Q25" s="18">
        <f>Q20+Q21+Q22+Q23+Q24</f>
        <v/>
      </c>
      <c r="R25" s="18">
        <f>R20+R21+R22+R23+R24</f>
        <v/>
      </c>
      <c r="S25" s="18">
        <f>S20+S21+S22+S23+S24</f>
        <v/>
      </c>
      <c r="T25" s="18">
        <f>T20+T21+T22+T23+T24</f>
        <v/>
      </c>
      <c r="U25" s="18">
        <f>U20+U21+U22+U23+U24</f>
        <v/>
      </c>
      <c r="V25" s="18">
        <f>V20+V21+V22+V23+V24</f>
        <v/>
      </c>
      <c r="W25" s="18">
        <f>W20+W21+W22+W23+W24</f>
        <v/>
      </c>
      <c r="X25" s="18">
        <f>X20+X21+X22+X23+X24</f>
        <v/>
      </c>
      <c r="Y25" s="18">
        <f>Y20+Y21+Y22+Y23+Y24</f>
        <v/>
      </c>
    </row>
    <row r="27">
      <c r="A27" s="2" t="inlineStr">
        <is>
          <t xml:space="preserve">  CONFERENCE &amp; TRAVEL</t>
        </is>
      </c>
    </row>
    <row r="28">
      <c r="A28" s="12" t="inlineStr">
        <is>
          <t xml:space="preserve">    Conference Costs</t>
        </is>
      </c>
      <c r="B28" s="20" t="n">
        <v>750</v>
      </c>
      <c r="C28" s="20" t="n">
        <v>0</v>
      </c>
      <c r="D28" s="20" t="n">
        <v>0</v>
      </c>
      <c r="E28" s="20" t="n">
        <v>4500</v>
      </c>
      <c r="F28" s="20" t="n">
        <v>0</v>
      </c>
      <c r="G28" s="20" t="n">
        <v>3500</v>
      </c>
      <c r="H28" s="20" t="n">
        <v>0</v>
      </c>
      <c r="I28" s="20" t="n">
        <v>5000</v>
      </c>
      <c r="J28" s="20" t="n">
        <v>0</v>
      </c>
      <c r="K28" s="20" t="n">
        <v>0</v>
      </c>
      <c r="L28" s="20" t="n">
        <v>4000</v>
      </c>
      <c r="M28" s="20" t="n">
        <v>5000</v>
      </c>
      <c r="N28" s="20" t="n">
        <v>500</v>
      </c>
      <c r="O28" s="20" t="n">
        <v>0</v>
      </c>
      <c r="P28" s="20" t="n">
        <v>6000</v>
      </c>
      <c r="Q28" s="20" t="n">
        <v>6000</v>
      </c>
      <c r="R28" s="20" t="n">
        <v>0</v>
      </c>
      <c r="S28" s="20" t="n">
        <v>5000</v>
      </c>
      <c r="T28" s="20" t="n">
        <v>0</v>
      </c>
      <c r="U28" s="20" t="n">
        <v>8000</v>
      </c>
      <c r="V28" s="20" t="n">
        <v>0</v>
      </c>
      <c r="W28" s="20" t="n">
        <v>0</v>
      </c>
      <c r="X28" s="20" t="n">
        <v>5000</v>
      </c>
      <c r="Y28" s="20" t="n">
        <v>6000</v>
      </c>
    </row>
    <row r="29">
      <c r="A29" s="17" t="inlineStr">
        <is>
          <t xml:space="preserve">    Total Conference &amp; Travel</t>
        </is>
      </c>
      <c r="B29" s="18">
        <f>B28</f>
        <v/>
      </c>
      <c r="C29" s="18">
        <f>C28</f>
        <v/>
      </c>
      <c r="D29" s="18">
        <f>D28</f>
        <v/>
      </c>
      <c r="E29" s="18">
        <f>E28</f>
        <v/>
      </c>
      <c r="F29" s="18">
        <f>F28</f>
        <v/>
      </c>
      <c r="G29" s="18">
        <f>G28</f>
        <v/>
      </c>
      <c r="H29" s="18">
        <f>H28</f>
        <v/>
      </c>
      <c r="I29" s="18">
        <f>I28</f>
        <v/>
      </c>
      <c r="J29" s="18">
        <f>J28</f>
        <v/>
      </c>
      <c r="K29" s="18">
        <f>K28</f>
        <v/>
      </c>
      <c r="L29" s="18">
        <f>L28</f>
        <v/>
      </c>
      <c r="M29" s="18">
        <f>M28</f>
        <v/>
      </c>
      <c r="N29" s="18">
        <f>N28</f>
        <v/>
      </c>
      <c r="O29" s="18">
        <f>O28</f>
        <v/>
      </c>
      <c r="P29" s="18">
        <f>P28</f>
        <v/>
      </c>
      <c r="Q29" s="18">
        <f>Q28</f>
        <v/>
      </c>
      <c r="R29" s="18">
        <f>R28</f>
        <v/>
      </c>
      <c r="S29" s="18">
        <f>S28</f>
        <v/>
      </c>
      <c r="T29" s="18">
        <f>T28</f>
        <v/>
      </c>
      <c r="U29" s="18">
        <f>U28</f>
        <v/>
      </c>
      <c r="V29" s="18">
        <f>V28</f>
        <v/>
      </c>
      <c r="W29" s="18">
        <f>W28</f>
        <v/>
      </c>
      <c r="X29" s="18">
        <f>X28</f>
        <v/>
      </c>
      <c r="Y29" s="18">
        <f>Y28</f>
        <v/>
      </c>
    </row>
    <row r="31">
      <c r="A31" s="17" t="inlineStr">
        <is>
          <t xml:space="preserve">  TOTAL OPEX</t>
        </is>
      </c>
      <c r="B31" s="18">
        <f>B17+B25+B29</f>
        <v/>
      </c>
      <c r="C31" s="18">
        <f>C17+C25+C29</f>
        <v/>
      </c>
      <c r="D31" s="18">
        <f>D17+D25+D29</f>
        <v/>
      </c>
      <c r="E31" s="18">
        <f>E17+E25+E29</f>
        <v/>
      </c>
      <c r="F31" s="18">
        <f>F17+F25+F29</f>
        <v/>
      </c>
      <c r="G31" s="18">
        <f>G17+G25+G29</f>
        <v/>
      </c>
      <c r="H31" s="18">
        <f>H17+H25+H29</f>
        <v/>
      </c>
      <c r="I31" s="18">
        <f>I17+I25+I29</f>
        <v/>
      </c>
      <c r="J31" s="18">
        <f>J17+J25+J29</f>
        <v/>
      </c>
      <c r="K31" s="18">
        <f>K17+K25+K29</f>
        <v/>
      </c>
      <c r="L31" s="18">
        <f>L17+L25+L29</f>
        <v/>
      </c>
      <c r="M31" s="18">
        <f>M17+M25+M29</f>
        <v/>
      </c>
      <c r="N31" s="18">
        <f>N17+N25+N29</f>
        <v/>
      </c>
      <c r="O31" s="18">
        <f>O17+O25+O29</f>
        <v/>
      </c>
      <c r="P31" s="18">
        <f>P17+P25+P29</f>
        <v/>
      </c>
      <c r="Q31" s="18">
        <f>Q17+Q25+Q29</f>
        <v/>
      </c>
      <c r="R31" s="18">
        <f>R17+R25+R29</f>
        <v/>
      </c>
      <c r="S31" s="18">
        <f>S17+S25+S29</f>
        <v/>
      </c>
      <c r="T31" s="18">
        <f>T17+T25+T29</f>
        <v/>
      </c>
      <c r="U31" s="18">
        <f>U17+U25+U29</f>
        <v/>
      </c>
      <c r="V31" s="18">
        <f>V17+V25+V29</f>
        <v/>
      </c>
      <c r="W31" s="18">
        <f>W17+W25+W29</f>
        <v/>
      </c>
      <c r="X31" s="18">
        <f>X17+X25+X29</f>
        <v/>
      </c>
      <c r="Y31" s="18">
        <f>Y17+Y25+Y29</f>
        <v/>
      </c>
    </row>
    <row r="33">
      <c r="A33" s="17" t="inlineStr">
        <is>
          <t>EBITDA</t>
        </is>
      </c>
      <c r="B33" s="18">
        <f>B10-B31</f>
        <v/>
      </c>
      <c r="C33" s="18">
        <f>C10-C31</f>
        <v/>
      </c>
      <c r="D33" s="18">
        <f>D10-D31</f>
        <v/>
      </c>
      <c r="E33" s="18">
        <f>E10-E31</f>
        <v/>
      </c>
      <c r="F33" s="18">
        <f>F10-F31</f>
        <v/>
      </c>
      <c r="G33" s="18">
        <f>G10-G31</f>
        <v/>
      </c>
      <c r="H33" s="18">
        <f>H10-H31</f>
        <v/>
      </c>
      <c r="I33" s="18">
        <f>I10-I31</f>
        <v/>
      </c>
      <c r="J33" s="18">
        <f>J10-J31</f>
        <v/>
      </c>
      <c r="K33" s="18">
        <f>K10-K31</f>
        <v/>
      </c>
      <c r="L33" s="18">
        <f>L10-L31</f>
        <v/>
      </c>
      <c r="M33" s="18">
        <f>M10-M31</f>
        <v/>
      </c>
      <c r="N33" s="18">
        <f>N10-N31</f>
        <v/>
      </c>
      <c r="O33" s="18">
        <f>O10-O31</f>
        <v/>
      </c>
      <c r="P33" s="18">
        <f>P10-P31</f>
        <v/>
      </c>
      <c r="Q33" s="18">
        <f>Q10-Q31</f>
        <v/>
      </c>
      <c r="R33" s="18">
        <f>R10-R31</f>
        <v/>
      </c>
      <c r="S33" s="18">
        <f>S10-S31</f>
        <v/>
      </c>
      <c r="T33" s="18">
        <f>T10-T31</f>
        <v/>
      </c>
      <c r="U33" s="18">
        <f>U10-U31</f>
        <v/>
      </c>
      <c r="V33" s="18">
        <f>V10-V31</f>
        <v/>
      </c>
      <c r="W33" s="18">
        <f>W10-W31</f>
        <v/>
      </c>
      <c r="X33" s="18">
        <f>X10-X31</f>
        <v/>
      </c>
      <c r="Y33" s="18">
        <f>Y10-Y31</f>
        <v/>
      </c>
    </row>
    <row r="34">
      <c r="A34" s="3" t="inlineStr">
        <is>
          <t>EBITDA MARGIN %</t>
        </is>
      </c>
      <c r="B34" s="16">
        <f>IF(Revenue!B35&lt;&gt;0,B33/Revenue!B35,0)</f>
        <v/>
      </c>
      <c r="C34" s="16">
        <f>IF(Revenue!C35&lt;&gt;0,C33/Revenue!C35,0)</f>
        <v/>
      </c>
      <c r="D34" s="16">
        <f>IF(Revenue!D35&lt;&gt;0,D33/Revenue!D35,0)</f>
        <v/>
      </c>
      <c r="E34" s="16">
        <f>IF(Revenue!E35&lt;&gt;0,E33/Revenue!E35,0)</f>
        <v/>
      </c>
      <c r="F34" s="16">
        <f>IF(Revenue!F35&lt;&gt;0,F33/Revenue!F35,0)</f>
        <v/>
      </c>
      <c r="G34" s="16">
        <f>IF(Revenue!G35&lt;&gt;0,G33/Revenue!G35,0)</f>
        <v/>
      </c>
      <c r="H34" s="16">
        <f>IF(Revenue!H35&lt;&gt;0,H33/Revenue!H35,0)</f>
        <v/>
      </c>
      <c r="I34" s="16">
        <f>IF(Revenue!I35&lt;&gt;0,I33/Revenue!I35,0)</f>
        <v/>
      </c>
      <c r="J34" s="16">
        <f>IF(Revenue!J35&lt;&gt;0,J33/Revenue!J35,0)</f>
        <v/>
      </c>
      <c r="K34" s="16">
        <f>IF(Revenue!K35&lt;&gt;0,K33/Revenue!K35,0)</f>
        <v/>
      </c>
      <c r="L34" s="16">
        <f>IF(Revenue!L35&lt;&gt;0,L33/Revenue!L35,0)</f>
        <v/>
      </c>
      <c r="M34" s="16">
        <f>IF(Revenue!M35&lt;&gt;0,M33/Revenue!M35,0)</f>
        <v/>
      </c>
      <c r="N34" s="16">
        <f>IF(Revenue!N35&lt;&gt;0,N33/Revenue!N35,0)</f>
        <v/>
      </c>
      <c r="O34" s="16">
        <f>IF(Revenue!O35&lt;&gt;0,O33/Revenue!O35,0)</f>
        <v/>
      </c>
      <c r="P34" s="16">
        <f>IF(Revenue!P35&lt;&gt;0,P33/Revenue!P35,0)</f>
        <v/>
      </c>
      <c r="Q34" s="16">
        <f>IF(Revenue!Q35&lt;&gt;0,Q33/Revenue!Q35,0)</f>
        <v/>
      </c>
      <c r="R34" s="16">
        <f>IF(Revenue!R35&lt;&gt;0,R33/Revenue!R35,0)</f>
        <v/>
      </c>
      <c r="S34" s="16">
        <f>IF(Revenue!S35&lt;&gt;0,S33/Revenue!S35,0)</f>
        <v/>
      </c>
      <c r="T34" s="16">
        <f>IF(Revenue!T35&lt;&gt;0,T33/Revenue!T35,0)</f>
        <v/>
      </c>
      <c r="U34" s="16">
        <f>IF(Revenue!U35&lt;&gt;0,U33/Revenue!U35,0)</f>
        <v/>
      </c>
      <c r="V34" s="16">
        <f>IF(Revenue!V35&lt;&gt;0,V33/Revenue!V35,0)</f>
        <v/>
      </c>
      <c r="W34" s="16">
        <f>IF(Revenue!W35&lt;&gt;0,W33/Revenue!W35,0)</f>
        <v/>
      </c>
      <c r="X34" s="16">
        <f>IF(Revenue!X35&lt;&gt;0,X33/Revenue!X35,0)</f>
        <v/>
      </c>
      <c r="Y34" s="16">
        <f>IF(Revenue!Y35&lt;&gt;0,Y33/Revenue!Y35,0)</f>
        <v/>
      </c>
    </row>
    <row r="36">
      <c r="A36" s="17" t="inlineStr">
        <is>
          <t>NET INCOME</t>
        </is>
      </c>
      <c r="B36" s="18">
        <f>B33</f>
        <v/>
      </c>
      <c r="C36" s="18">
        <f>C33</f>
        <v/>
      </c>
      <c r="D36" s="18">
        <f>D33</f>
        <v/>
      </c>
      <c r="E36" s="18">
        <f>E33</f>
        <v/>
      </c>
      <c r="F36" s="18">
        <f>F33</f>
        <v/>
      </c>
      <c r="G36" s="18">
        <f>G33</f>
        <v/>
      </c>
      <c r="H36" s="18">
        <f>H33</f>
        <v/>
      </c>
      <c r="I36" s="18">
        <f>I33</f>
        <v/>
      </c>
      <c r="J36" s="18">
        <f>J33</f>
        <v/>
      </c>
      <c r="K36" s="18">
        <f>K33</f>
        <v/>
      </c>
      <c r="L36" s="18">
        <f>L33</f>
        <v/>
      </c>
      <c r="M36" s="18">
        <f>M33</f>
        <v/>
      </c>
      <c r="N36" s="18">
        <f>N33</f>
        <v/>
      </c>
      <c r="O36" s="18">
        <f>O33</f>
        <v/>
      </c>
      <c r="P36" s="18">
        <f>P33</f>
        <v/>
      </c>
      <c r="Q36" s="18">
        <f>Q33</f>
        <v/>
      </c>
      <c r="R36" s="18">
        <f>R33</f>
        <v/>
      </c>
      <c r="S36" s="18">
        <f>S33</f>
        <v/>
      </c>
      <c r="T36" s="18">
        <f>T33</f>
        <v/>
      </c>
      <c r="U36" s="18">
        <f>U33</f>
        <v/>
      </c>
      <c r="V36" s="18">
        <f>V33</f>
        <v/>
      </c>
      <c r="W36" s="18">
        <f>W33</f>
        <v/>
      </c>
      <c r="X36" s="18">
        <f>X33</f>
        <v/>
      </c>
      <c r="Y36" s="18">
        <f>Y33</f>
        <v/>
      </c>
    </row>
  </sheetData>
  <conditionalFormatting sqref="B10:Y1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3:Y33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B36:Y36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3" t="inlineStr">
        <is>
          <t>ARPU (Total) — Net Rev / Users</t>
        </is>
      </c>
      <c r="B2" s="19">
        <f>IF('User Growth'!B20&gt;0,Revenue!B35/'User Growth'!B20,0)</f>
        <v/>
      </c>
      <c r="C2" s="19">
        <f>IF('User Growth'!C20&gt;0,Revenue!C35/'User Growth'!C20,0)</f>
        <v/>
      </c>
      <c r="D2" s="19">
        <f>IF('User Growth'!D20&gt;0,Revenue!D35/'User Growth'!D20,0)</f>
        <v/>
      </c>
      <c r="E2" s="19">
        <f>IF('User Growth'!E20&gt;0,Revenue!E35/'User Growth'!E20,0)</f>
        <v/>
      </c>
      <c r="F2" s="19">
        <f>IF('User Growth'!F20&gt;0,Revenue!F35/'User Growth'!F20,0)</f>
        <v/>
      </c>
      <c r="G2" s="19">
        <f>IF('User Growth'!G20&gt;0,Revenue!G35/'User Growth'!G20,0)</f>
        <v/>
      </c>
      <c r="H2" s="19">
        <f>IF('User Growth'!H20&gt;0,Revenue!H35/'User Growth'!H20,0)</f>
        <v/>
      </c>
      <c r="I2" s="19">
        <f>IF('User Growth'!I20&gt;0,Revenue!I35/'User Growth'!I20,0)</f>
        <v/>
      </c>
      <c r="J2" s="19">
        <f>IF('User Growth'!J20&gt;0,Revenue!J35/'User Growth'!J20,0)</f>
        <v/>
      </c>
      <c r="K2" s="19">
        <f>IF('User Growth'!K20&gt;0,Revenue!K35/'User Growth'!K20,0)</f>
        <v/>
      </c>
      <c r="L2" s="19">
        <f>IF('User Growth'!L20&gt;0,Revenue!L35/'User Growth'!L20,0)</f>
        <v/>
      </c>
      <c r="M2" s="19">
        <f>IF('User Growth'!M20&gt;0,Revenue!M35/'User Growth'!M20,0)</f>
        <v/>
      </c>
      <c r="N2" s="19">
        <f>IF('User Growth'!N20&gt;0,Revenue!N35/'User Growth'!N20,0)</f>
        <v/>
      </c>
      <c r="O2" s="19">
        <f>IF('User Growth'!O20&gt;0,Revenue!O35/'User Growth'!O20,0)</f>
        <v/>
      </c>
      <c r="P2" s="19">
        <f>IF('User Growth'!P20&gt;0,Revenue!P35/'User Growth'!P20,0)</f>
        <v/>
      </c>
      <c r="Q2" s="19">
        <f>IF('User Growth'!Q20&gt;0,Revenue!Q35/'User Growth'!Q20,0)</f>
        <v/>
      </c>
      <c r="R2" s="19">
        <f>IF('User Growth'!R20&gt;0,Revenue!R35/'User Growth'!R20,0)</f>
        <v/>
      </c>
      <c r="S2" s="19">
        <f>IF('User Growth'!S20&gt;0,Revenue!S35/'User Growth'!S20,0)</f>
        <v/>
      </c>
      <c r="T2" s="19">
        <f>IF('User Growth'!T20&gt;0,Revenue!T35/'User Growth'!T20,0)</f>
        <v/>
      </c>
      <c r="U2" s="19">
        <f>IF('User Growth'!U20&gt;0,Revenue!U35/'User Growth'!U20,0)</f>
        <v/>
      </c>
      <c r="V2" s="19">
        <f>IF('User Growth'!V20&gt;0,Revenue!V35/'User Growth'!V20,0)</f>
        <v/>
      </c>
      <c r="W2" s="19">
        <f>IF('User Growth'!W20&gt;0,Revenue!W35/'User Growth'!W20,0)</f>
        <v/>
      </c>
      <c r="X2" s="19">
        <f>IF('User Growth'!X20&gt;0,Revenue!X35/'User Growth'!X20,0)</f>
        <v/>
      </c>
      <c r="Y2" s="19">
        <f>IF('User Growth'!Y20&gt;0,Revenue!Y35/'User Growth'!Y20,0)</f>
        <v/>
      </c>
    </row>
    <row r="3">
      <c r="A3" s="3" t="inlineStr">
        <is>
          <t>ARPU (Paid) — Sub Rev / Paid</t>
        </is>
      </c>
      <c r="B3" s="19">
        <f>IF(B4&gt;0,Revenue!B9/B4,0)</f>
        <v/>
      </c>
      <c r="C3" s="19">
        <f>IF(C4&gt;0,Revenue!C9/C4,0)</f>
        <v/>
      </c>
      <c r="D3" s="19">
        <f>IF(D4&gt;0,Revenue!D9/D4,0)</f>
        <v/>
      </c>
      <c r="E3" s="19">
        <f>IF(E4&gt;0,Revenue!E9/E4,0)</f>
        <v/>
      </c>
      <c r="F3" s="19">
        <f>IF(F4&gt;0,Revenue!F9/F4,0)</f>
        <v/>
      </c>
      <c r="G3" s="19">
        <f>IF(G4&gt;0,Revenue!G9/G4,0)</f>
        <v/>
      </c>
      <c r="H3" s="19">
        <f>IF(H4&gt;0,Revenue!H9/H4,0)</f>
        <v/>
      </c>
      <c r="I3" s="19">
        <f>IF(I4&gt;0,Revenue!I9/I4,0)</f>
        <v/>
      </c>
      <c r="J3" s="19">
        <f>IF(J4&gt;0,Revenue!J9/J4,0)</f>
        <v/>
      </c>
      <c r="K3" s="19">
        <f>IF(K4&gt;0,Revenue!K9/K4,0)</f>
        <v/>
      </c>
      <c r="L3" s="19">
        <f>IF(L4&gt;0,Revenue!L9/L4,0)</f>
        <v/>
      </c>
      <c r="M3" s="19">
        <f>IF(M4&gt;0,Revenue!M9/M4,0)</f>
        <v/>
      </c>
      <c r="N3" s="19">
        <f>IF(N4&gt;0,Revenue!N9/N4,0)</f>
        <v/>
      </c>
      <c r="O3" s="19">
        <f>IF(O4&gt;0,Revenue!O9/O4,0)</f>
        <v/>
      </c>
      <c r="P3" s="19">
        <f>IF(P4&gt;0,Revenue!P9/P4,0)</f>
        <v/>
      </c>
      <c r="Q3" s="19">
        <f>IF(Q4&gt;0,Revenue!Q9/Q4,0)</f>
        <v/>
      </c>
      <c r="R3" s="19">
        <f>IF(R4&gt;0,Revenue!R9/R4,0)</f>
        <v/>
      </c>
      <c r="S3" s="19">
        <f>IF(S4&gt;0,Revenue!S9/S4,0)</f>
        <v/>
      </c>
      <c r="T3" s="19">
        <f>IF(T4&gt;0,Revenue!T9/T4,0)</f>
        <v/>
      </c>
      <c r="U3" s="19">
        <f>IF(U4&gt;0,Revenue!U9/U4,0)</f>
        <v/>
      </c>
      <c r="V3" s="19">
        <f>IF(V4&gt;0,Revenue!V9/V4,0)</f>
        <v/>
      </c>
      <c r="W3" s="19">
        <f>IF(W4&gt;0,Revenue!W9/W4,0)</f>
        <v/>
      </c>
      <c r="X3" s="19">
        <f>IF(X4&gt;0,Revenue!X9/X4,0)</f>
        <v/>
      </c>
      <c r="Y3" s="19">
        <f>IF(Y4&gt;0,Revenue!Y9/Y4,0)</f>
        <v/>
      </c>
    </row>
    <row r="4">
      <c r="A4" s="3" t="inlineStr">
        <is>
          <t>Paid Subscribers</t>
        </is>
      </c>
      <c r="B4" s="15">
        <f>'User Growth'!B18+'User Growth'!B19</f>
        <v/>
      </c>
      <c r="C4" s="15">
        <f>'User Growth'!C18+'User Growth'!C19</f>
        <v/>
      </c>
      <c r="D4" s="15">
        <f>'User Growth'!D18+'User Growth'!D19</f>
        <v/>
      </c>
      <c r="E4" s="15">
        <f>'User Growth'!E18+'User Growth'!E19</f>
        <v/>
      </c>
      <c r="F4" s="15">
        <f>'User Growth'!F18+'User Growth'!F19</f>
        <v/>
      </c>
      <c r="G4" s="15">
        <f>'User Growth'!G18+'User Growth'!G19</f>
        <v/>
      </c>
      <c r="H4" s="15">
        <f>'User Growth'!H18+'User Growth'!H19</f>
        <v/>
      </c>
      <c r="I4" s="15">
        <f>'User Growth'!I18+'User Growth'!I19</f>
        <v/>
      </c>
      <c r="J4" s="15">
        <f>'User Growth'!J18+'User Growth'!J19</f>
        <v/>
      </c>
      <c r="K4" s="15">
        <f>'User Growth'!K18+'User Growth'!K19</f>
        <v/>
      </c>
      <c r="L4" s="15">
        <f>'User Growth'!L18+'User Growth'!L19</f>
        <v/>
      </c>
      <c r="M4" s="15">
        <f>'User Growth'!M18+'User Growth'!M19</f>
        <v/>
      </c>
      <c r="N4" s="15">
        <f>'User Growth'!N18+'User Growth'!N19</f>
        <v/>
      </c>
      <c r="O4" s="15">
        <f>'User Growth'!O18+'User Growth'!O19</f>
        <v/>
      </c>
      <c r="P4" s="15">
        <f>'User Growth'!P18+'User Growth'!P19</f>
        <v/>
      </c>
      <c r="Q4" s="15">
        <f>'User Growth'!Q18+'User Growth'!Q19</f>
        <v/>
      </c>
      <c r="R4" s="15">
        <f>'User Growth'!R18+'User Growth'!R19</f>
        <v/>
      </c>
      <c r="S4" s="15">
        <f>'User Growth'!S18+'User Growth'!S19</f>
        <v/>
      </c>
      <c r="T4" s="15">
        <f>'User Growth'!T18+'User Growth'!T19</f>
        <v/>
      </c>
      <c r="U4" s="15">
        <f>'User Growth'!U18+'User Growth'!U19</f>
        <v/>
      </c>
      <c r="V4" s="15">
        <f>'User Growth'!V18+'User Growth'!V19</f>
        <v/>
      </c>
      <c r="W4" s="15">
        <f>'User Growth'!W18+'User Growth'!W19</f>
        <v/>
      </c>
      <c r="X4" s="15">
        <f>'User Growth'!X18+'User Growth'!X19</f>
        <v/>
      </c>
      <c r="Y4" s="15">
        <f>'User Growth'!Y18+'User Growth'!Y19</f>
        <v/>
      </c>
    </row>
    <row r="5">
      <c r="A5" s="3" t="inlineStr">
        <is>
          <t>Blended Monthly Churn (Paid)</t>
        </is>
      </c>
      <c r="B5" s="16">
        <f>IF(B4+'User Growth'!B12+'User Growth'!B13&gt;0,('User Growth'!B12+'User Growth'!B13)/(B4+'User Growth'!B12+'User Growth'!B13),0)</f>
        <v/>
      </c>
      <c r="C5" s="16">
        <f>IF(C4+'User Growth'!C12+'User Growth'!C13&gt;0,('User Growth'!C12+'User Growth'!C13)/(C4+'User Growth'!C12+'User Growth'!C13),0)</f>
        <v/>
      </c>
      <c r="D5" s="16">
        <f>IF(D4+'User Growth'!D12+'User Growth'!D13&gt;0,('User Growth'!D12+'User Growth'!D13)/(D4+'User Growth'!D12+'User Growth'!D13),0)</f>
        <v/>
      </c>
      <c r="E5" s="16">
        <f>IF(E4+'User Growth'!E12+'User Growth'!E13&gt;0,('User Growth'!E12+'User Growth'!E13)/(E4+'User Growth'!E12+'User Growth'!E13),0)</f>
        <v/>
      </c>
      <c r="F5" s="16">
        <f>IF(F4+'User Growth'!F12+'User Growth'!F13&gt;0,('User Growth'!F12+'User Growth'!F13)/(F4+'User Growth'!F12+'User Growth'!F13),0)</f>
        <v/>
      </c>
      <c r="G5" s="16">
        <f>IF(G4+'User Growth'!G12+'User Growth'!G13&gt;0,('User Growth'!G12+'User Growth'!G13)/(G4+'User Growth'!G12+'User Growth'!G13),0)</f>
        <v/>
      </c>
      <c r="H5" s="16">
        <f>IF(H4+'User Growth'!H12+'User Growth'!H13&gt;0,('User Growth'!H12+'User Growth'!H13)/(H4+'User Growth'!H12+'User Growth'!H13),0)</f>
        <v/>
      </c>
      <c r="I5" s="16">
        <f>IF(I4+'User Growth'!I12+'User Growth'!I13&gt;0,('User Growth'!I12+'User Growth'!I13)/(I4+'User Growth'!I12+'User Growth'!I13),0)</f>
        <v/>
      </c>
      <c r="J5" s="16">
        <f>IF(J4+'User Growth'!J12+'User Growth'!J13&gt;0,('User Growth'!J12+'User Growth'!J13)/(J4+'User Growth'!J12+'User Growth'!J13),0)</f>
        <v/>
      </c>
      <c r="K5" s="16">
        <f>IF(K4+'User Growth'!K12+'User Growth'!K13&gt;0,('User Growth'!K12+'User Growth'!K13)/(K4+'User Growth'!K12+'User Growth'!K13),0)</f>
        <v/>
      </c>
      <c r="L5" s="16">
        <f>IF(L4+'User Growth'!L12+'User Growth'!L13&gt;0,('User Growth'!L12+'User Growth'!L13)/(L4+'User Growth'!L12+'User Growth'!L13),0)</f>
        <v/>
      </c>
      <c r="M5" s="16">
        <f>IF(M4+'User Growth'!M12+'User Growth'!M13&gt;0,('User Growth'!M12+'User Growth'!M13)/(M4+'User Growth'!M12+'User Growth'!M13),0)</f>
        <v/>
      </c>
      <c r="N5" s="16">
        <f>IF(N4+'User Growth'!N12+'User Growth'!N13&gt;0,('User Growth'!N12+'User Growth'!N13)/(N4+'User Growth'!N12+'User Growth'!N13),0)</f>
        <v/>
      </c>
      <c r="O5" s="16">
        <f>IF(O4+'User Growth'!O12+'User Growth'!O13&gt;0,('User Growth'!O12+'User Growth'!O13)/(O4+'User Growth'!O12+'User Growth'!O13),0)</f>
        <v/>
      </c>
      <c r="P5" s="16">
        <f>IF(P4+'User Growth'!P12+'User Growth'!P13&gt;0,('User Growth'!P12+'User Growth'!P13)/(P4+'User Growth'!P12+'User Growth'!P13),0)</f>
        <v/>
      </c>
      <c r="Q5" s="16">
        <f>IF(Q4+'User Growth'!Q12+'User Growth'!Q13&gt;0,('User Growth'!Q12+'User Growth'!Q13)/(Q4+'User Growth'!Q12+'User Growth'!Q13),0)</f>
        <v/>
      </c>
      <c r="R5" s="16">
        <f>IF(R4+'User Growth'!R12+'User Growth'!R13&gt;0,('User Growth'!R12+'User Growth'!R13)/(R4+'User Growth'!R12+'User Growth'!R13),0)</f>
        <v/>
      </c>
      <c r="S5" s="16">
        <f>IF(S4+'User Growth'!S12+'User Growth'!S13&gt;0,('User Growth'!S12+'User Growth'!S13)/(S4+'User Growth'!S12+'User Growth'!S13),0)</f>
        <v/>
      </c>
      <c r="T5" s="16">
        <f>IF(T4+'User Growth'!T12+'User Growth'!T13&gt;0,('User Growth'!T12+'User Growth'!T13)/(T4+'User Growth'!T12+'User Growth'!T13),0)</f>
        <v/>
      </c>
      <c r="U5" s="16">
        <f>IF(U4+'User Growth'!U12+'User Growth'!U13&gt;0,('User Growth'!U12+'User Growth'!U13)/(U4+'User Growth'!U12+'User Growth'!U13),0)</f>
        <v/>
      </c>
      <c r="V5" s="16">
        <f>IF(V4+'User Growth'!V12+'User Growth'!V13&gt;0,('User Growth'!V12+'User Growth'!V13)/(V4+'User Growth'!V12+'User Growth'!V13),0)</f>
        <v/>
      </c>
      <c r="W5" s="16">
        <f>IF(W4+'User Growth'!W12+'User Growth'!W13&gt;0,('User Growth'!W12+'User Growth'!W13)/(W4+'User Growth'!W12+'User Growth'!W13),0)</f>
        <v/>
      </c>
      <c r="X5" s="16">
        <f>IF(X4+'User Growth'!X12+'User Growth'!X13&gt;0,('User Growth'!X12+'User Growth'!X13)/(X4+'User Growth'!X12+'User Growth'!X13),0)</f>
        <v/>
      </c>
      <c r="Y5" s="16">
        <f>IF(Y4+'User Growth'!Y12+'User Growth'!Y13&gt;0,('User Growth'!Y12+'User Growth'!Y13)/(Y4+'User Growth'!Y12+'User Growth'!Y13),0)</f>
        <v/>
      </c>
    </row>
    <row r="6">
      <c r="A6" s="3" t="inlineStr">
        <is>
          <t>Implied LTV (ARPU / Churn)</t>
        </is>
      </c>
      <c r="B6" s="15">
        <f>IF(B5&gt;0,B3/B5,0)</f>
        <v/>
      </c>
      <c r="C6" s="15">
        <f>IF(C5&gt;0,C3/C5,0)</f>
        <v/>
      </c>
      <c r="D6" s="15">
        <f>IF(D5&gt;0,D3/D5,0)</f>
        <v/>
      </c>
      <c r="E6" s="15">
        <f>IF(E5&gt;0,E3/E5,0)</f>
        <v/>
      </c>
      <c r="F6" s="15">
        <f>IF(F5&gt;0,F3/F5,0)</f>
        <v/>
      </c>
      <c r="G6" s="15">
        <f>IF(G5&gt;0,G3/G5,0)</f>
        <v/>
      </c>
      <c r="H6" s="15">
        <f>IF(H5&gt;0,H3/H5,0)</f>
        <v/>
      </c>
      <c r="I6" s="15">
        <f>IF(I5&gt;0,I3/I5,0)</f>
        <v/>
      </c>
      <c r="J6" s="15">
        <f>IF(J5&gt;0,J3/J5,0)</f>
        <v/>
      </c>
      <c r="K6" s="15">
        <f>IF(K5&gt;0,K3/K5,0)</f>
        <v/>
      </c>
      <c r="L6" s="15">
        <f>IF(L5&gt;0,L3/L5,0)</f>
        <v/>
      </c>
      <c r="M6" s="15">
        <f>IF(M5&gt;0,M3/M5,0)</f>
        <v/>
      </c>
      <c r="N6" s="15">
        <f>IF(N5&gt;0,N3/N5,0)</f>
        <v/>
      </c>
      <c r="O6" s="15">
        <f>IF(O5&gt;0,O3/O5,0)</f>
        <v/>
      </c>
      <c r="P6" s="15">
        <f>IF(P5&gt;0,P3/P5,0)</f>
        <v/>
      </c>
      <c r="Q6" s="15">
        <f>IF(Q5&gt;0,Q3/Q5,0)</f>
        <v/>
      </c>
      <c r="R6" s="15">
        <f>IF(R5&gt;0,R3/R5,0)</f>
        <v/>
      </c>
      <c r="S6" s="15">
        <f>IF(S5&gt;0,S3/S5,0)</f>
        <v/>
      </c>
      <c r="T6" s="15">
        <f>IF(T5&gt;0,T3/T5,0)</f>
        <v/>
      </c>
      <c r="U6" s="15">
        <f>IF(U5&gt;0,U3/U5,0)</f>
        <v/>
      </c>
      <c r="V6" s="15">
        <f>IF(V5&gt;0,V3/V5,0)</f>
        <v/>
      </c>
      <c r="W6" s="15">
        <f>IF(W5&gt;0,W3/W5,0)</f>
        <v/>
      </c>
      <c r="X6" s="15">
        <f>IF(X5&gt;0,X3/X5,0)</f>
        <v/>
      </c>
      <c r="Y6" s="15">
        <f>IF(Y5&gt;0,Y3/Y5,0)</f>
        <v/>
      </c>
    </row>
    <row r="7">
      <c r="A7" s="3" t="inlineStr">
        <is>
          <t>CAC (S&amp;M / New Users)</t>
        </is>
      </c>
      <c r="B7" s="19">
        <f>IF('User Growth'!B3&gt;0,'COGS &amp; Operating Expenses'!B17/'User Growth'!B3,0)</f>
        <v/>
      </c>
      <c r="C7" s="19">
        <f>IF('User Growth'!C3&gt;0,'COGS &amp; Operating Expenses'!C17/'User Growth'!C3,0)</f>
        <v/>
      </c>
      <c r="D7" s="19">
        <f>IF('User Growth'!D3&gt;0,'COGS &amp; Operating Expenses'!D17/'User Growth'!D3,0)</f>
        <v/>
      </c>
      <c r="E7" s="19">
        <f>IF('User Growth'!E3&gt;0,'COGS &amp; Operating Expenses'!E17/'User Growth'!E3,0)</f>
        <v/>
      </c>
      <c r="F7" s="19">
        <f>IF('User Growth'!F3&gt;0,'COGS &amp; Operating Expenses'!F17/'User Growth'!F3,0)</f>
        <v/>
      </c>
      <c r="G7" s="19">
        <f>IF('User Growth'!G3&gt;0,'COGS &amp; Operating Expenses'!G17/'User Growth'!G3,0)</f>
        <v/>
      </c>
      <c r="H7" s="19">
        <f>IF('User Growth'!H3&gt;0,'COGS &amp; Operating Expenses'!H17/'User Growth'!H3,0)</f>
        <v/>
      </c>
      <c r="I7" s="19">
        <f>IF('User Growth'!I3&gt;0,'COGS &amp; Operating Expenses'!I17/'User Growth'!I3,0)</f>
        <v/>
      </c>
      <c r="J7" s="19">
        <f>IF('User Growth'!J3&gt;0,'COGS &amp; Operating Expenses'!J17/'User Growth'!J3,0)</f>
        <v/>
      </c>
      <c r="K7" s="19">
        <f>IF('User Growth'!K3&gt;0,'COGS &amp; Operating Expenses'!K17/'User Growth'!K3,0)</f>
        <v/>
      </c>
      <c r="L7" s="19">
        <f>IF('User Growth'!L3&gt;0,'COGS &amp; Operating Expenses'!L17/'User Growth'!L3,0)</f>
        <v/>
      </c>
      <c r="M7" s="19">
        <f>IF('User Growth'!M3&gt;0,'COGS &amp; Operating Expenses'!M17/'User Growth'!M3,0)</f>
        <v/>
      </c>
      <c r="N7" s="19">
        <f>IF('User Growth'!N3&gt;0,'COGS &amp; Operating Expenses'!N17/'User Growth'!N3,0)</f>
        <v/>
      </c>
      <c r="O7" s="19">
        <f>IF('User Growth'!O3&gt;0,'COGS &amp; Operating Expenses'!O17/'User Growth'!O3,0)</f>
        <v/>
      </c>
      <c r="P7" s="19">
        <f>IF('User Growth'!P3&gt;0,'COGS &amp; Operating Expenses'!P17/'User Growth'!P3,0)</f>
        <v/>
      </c>
      <c r="Q7" s="19">
        <f>IF('User Growth'!Q3&gt;0,'COGS &amp; Operating Expenses'!Q17/'User Growth'!Q3,0)</f>
        <v/>
      </c>
      <c r="R7" s="19">
        <f>IF('User Growth'!R3&gt;0,'COGS &amp; Operating Expenses'!R17/'User Growth'!R3,0)</f>
        <v/>
      </c>
      <c r="S7" s="19">
        <f>IF('User Growth'!S3&gt;0,'COGS &amp; Operating Expenses'!S17/'User Growth'!S3,0)</f>
        <v/>
      </c>
      <c r="T7" s="19">
        <f>IF('User Growth'!T3&gt;0,'COGS &amp; Operating Expenses'!T17/'User Growth'!T3,0)</f>
        <v/>
      </c>
      <c r="U7" s="19">
        <f>IF('User Growth'!U3&gt;0,'COGS &amp; Operating Expenses'!U17/'User Growth'!U3,0)</f>
        <v/>
      </c>
      <c r="V7" s="19">
        <f>IF('User Growth'!V3&gt;0,'COGS &amp; Operating Expenses'!V17/'User Growth'!V3,0)</f>
        <v/>
      </c>
      <c r="W7" s="19">
        <f>IF('User Growth'!W3&gt;0,'COGS &amp; Operating Expenses'!W17/'User Growth'!W3,0)</f>
        <v/>
      </c>
      <c r="X7" s="19">
        <f>IF('User Growth'!X3&gt;0,'COGS &amp; Operating Expenses'!X17/'User Growth'!X3,0)</f>
        <v/>
      </c>
      <c r="Y7" s="19">
        <f>IF('User Growth'!Y3&gt;0,'COGS &amp; Operating Expenses'!Y17/'User Growth'!Y3,0)</f>
        <v/>
      </c>
    </row>
    <row r="8">
      <c r="A8" s="3" t="inlineStr">
        <is>
          <t>LTV:CAC Ratio</t>
        </is>
      </c>
      <c r="B8" s="21">
        <f>IF(B7&gt;0,B6/B7,0)</f>
        <v/>
      </c>
      <c r="C8" s="21">
        <f>IF(C7&gt;0,C6/C7,0)</f>
        <v/>
      </c>
      <c r="D8" s="21">
        <f>IF(D7&gt;0,D6/D7,0)</f>
        <v/>
      </c>
      <c r="E8" s="21">
        <f>IF(E7&gt;0,E6/E7,0)</f>
        <v/>
      </c>
      <c r="F8" s="21">
        <f>IF(F7&gt;0,F6/F7,0)</f>
        <v/>
      </c>
      <c r="G8" s="21">
        <f>IF(G7&gt;0,G6/G7,0)</f>
        <v/>
      </c>
      <c r="H8" s="21">
        <f>IF(H7&gt;0,H6/H7,0)</f>
        <v/>
      </c>
      <c r="I8" s="21">
        <f>IF(I7&gt;0,I6/I7,0)</f>
        <v/>
      </c>
      <c r="J8" s="21">
        <f>IF(J7&gt;0,J6/J7,0)</f>
        <v/>
      </c>
      <c r="K8" s="21">
        <f>IF(K7&gt;0,K6/K7,0)</f>
        <v/>
      </c>
      <c r="L8" s="21">
        <f>IF(L7&gt;0,L6/L7,0)</f>
        <v/>
      </c>
      <c r="M8" s="21">
        <f>IF(M7&gt;0,M6/M7,0)</f>
        <v/>
      </c>
      <c r="N8" s="21">
        <f>IF(N7&gt;0,N6/N7,0)</f>
        <v/>
      </c>
      <c r="O8" s="21">
        <f>IF(O7&gt;0,O6/O7,0)</f>
        <v/>
      </c>
      <c r="P8" s="21">
        <f>IF(P7&gt;0,P6/P7,0)</f>
        <v/>
      </c>
      <c r="Q8" s="21">
        <f>IF(Q7&gt;0,Q6/Q7,0)</f>
        <v/>
      </c>
      <c r="R8" s="21">
        <f>IF(R7&gt;0,R6/R7,0)</f>
        <v/>
      </c>
      <c r="S8" s="21">
        <f>IF(S7&gt;0,S6/S7,0)</f>
        <v/>
      </c>
      <c r="T8" s="21">
        <f>IF(T7&gt;0,T6/T7,0)</f>
        <v/>
      </c>
      <c r="U8" s="21">
        <f>IF(U7&gt;0,U6/U7,0)</f>
        <v/>
      </c>
      <c r="V8" s="21">
        <f>IF(V7&gt;0,V6/V7,0)</f>
        <v/>
      </c>
      <c r="W8" s="21">
        <f>IF(W7&gt;0,W6/W7,0)</f>
        <v/>
      </c>
      <c r="X8" s="21">
        <f>IF(X7&gt;0,X6/X7,0)</f>
        <v/>
      </c>
      <c r="Y8" s="21">
        <f>IF(Y7&gt;0,Y6/Y7,0)</f>
        <v/>
      </c>
    </row>
    <row r="9">
      <c r="A9" s="3" t="inlineStr">
        <is>
          <t>Payback Period (months)</t>
        </is>
      </c>
      <c r="B9" s="22">
        <f>IF(B3&gt;0,B7/B3,0)</f>
        <v/>
      </c>
      <c r="C9" s="22">
        <f>IF(C3&gt;0,C7/C3,0)</f>
        <v/>
      </c>
      <c r="D9" s="22">
        <f>IF(D3&gt;0,D7/D3,0)</f>
        <v/>
      </c>
      <c r="E9" s="22">
        <f>IF(E3&gt;0,E7/E3,0)</f>
        <v/>
      </c>
      <c r="F9" s="22">
        <f>IF(F3&gt;0,F7/F3,0)</f>
        <v/>
      </c>
      <c r="G9" s="22">
        <f>IF(G3&gt;0,G7/G3,0)</f>
        <v/>
      </c>
      <c r="H9" s="22">
        <f>IF(H3&gt;0,H7/H3,0)</f>
        <v/>
      </c>
      <c r="I9" s="22">
        <f>IF(I3&gt;0,I7/I3,0)</f>
        <v/>
      </c>
      <c r="J9" s="22">
        <f>IF(J3&gt;0,J7/J3,0)</f>
        <v/>
      </c>
      <c r="K9" s="22">
        <f>IF(K3&gt;0,K7/K3,0)</f>
        <v/>
      </c>
      <c r="L9" s="22">
        <f>IF(L3&gt;0,L7/L3,0)</f>
        <v/>
      </c>
      <c r="M9" s="22">
        <f>IF(M3&gt;0,M7/M3,0)</f>
        <v/>
      </c>
      <c r="N9" s="22">
        <f>IF(N3&gt;0,N7/N3,0)</f>
        <v/>
      </c>
      <c r="O9" s="22">
        <f>IF(O3&gt;0,O7/O3,0)</f>
        <v/>
      </c>
      <c r="P9" s="22">
        <f>IF(P3&gt;0,P7/P3,0)</f>
        <v/>
      </c>
      <c r="Q9" s="22">
        <f>IF(Q3&gt;0,Q7/Q3,0)</f>
        <v/>
      </c>
      <c r="R9" s="22">
        <f>IF(R3&gt;0,R7/R3,0)</f>
        <v/>
      </c>
      <c r="S9" s="22">
        <f>IF(S3&gt;0,S7/S3,0)</f>
        <v/>
      </c>
      <c r="T9" s="22">
        <f>IF(T3&gt;0,T7/T3,0)</f>
        <v/>
      </c>
      <c r="U9" s="22">
        <f>IF(U3&gt;0,U7/U3,0)</f>
        <v/>
      </c>
      <c r="V9" s="22">
        <f>IF(V3&gt;0,V7/V3,0)</f>
        <v/>
      </c>
      <c r="W9" s="22">
        <f>IF(W3&gt;0,W7/W3,0)</f>
        <v/>
      </c>
      <c r="X9" s="22">
        <f>IF(X3&gt;0,X7/X3,0)</f>
        <v/>
      </c>
      <c r="Y9" s="22">
        <f>IF(Y3&gt;0,Y7/Y3,0)</f>
        <v/>
      </c>
    </row>
    <row r="10">
      <c r="A10" s="3" t="inlineStr">
        <is>
          <t>Team Size (approx)</t>
        </is>
      </c>
      <c r="B10" s="15">
        <f>IF(COLUMN()-2&lt;6,0,IF(COLUMN()-2&lt;12,1,IF(COLUMN()-2&lt;18,2,3)))</f>
        <v/>
      </c>
      <c r="C10" s="15">
        <f>IF(COLUMN()-2&lt;6,0,IF(COLUMN()-2&lt;12,1,IF(COLUMN()-2&lt;18,2,3)))</f>
        <v/>
      </c>
      <c r="D10" s="15">
        <f>IF(COLUMN()-2&lt;6,0,IF(COLUMN()-2&lt;12,1,IF(COLUMN()-2&lt;18,2,3)))</f>
        <v/>
      </c>
      <c r="E10" s="15">
        <f>IF(COLUMN()-2&lt;6,0,IF(COLUMN()-2&lt;12,1,IF(COLUMN()-2&lt;18,2,3)))</f>
        <v/>
      </c>
      <c r="F10" s="15">
        <f>IF(COLUMN()-2&lt;6,0,IF(COLUMN()-2&lt;12,1,IF(COLUMN()-2&lt;18,2,3)))</f>
        <v/>
      </c>
      <c r="G10" s="15">
        <f>IF(COLUMN()-2&lt;6,0,IF(COLUMN()-2&lt;12,1,IF(COLUMN()-2&lt;18,2,3)))</f>
        <v/>
      </c>
      <c r="H10" s="15">
        <f>IF(COLUMN()-2&lt;6,0,IF(COLUMN()-2&lt;12,1,IF(COLUMN()-2&lt;18,2,3)))</f>
        <v/>
      </c>
      <c r="I10" s="15">
        <f>IF(COLUMN()-2&lt;6,0,IF(COLUMN()-2&lt;12,1,IF(COLUMN()-2&lt;18,2,3)))</f>
        <v/>
      </c>
      <c r="J10" s="15">
        <f>IF(COLUMN()-2&lt;6,0,IF(COLUMN()-2&lt;12,1,IF(COLUMN()-2&lt;18,2,3)))</f>
        <v/>
      </c>
      <c r="K10" s="15">
        <f>IF(COLUMN()-2&lt;6,0,IF(COLUMN()-2&lt;12,1,IF(COLUMN()-2&lt;18,2,3)))</f>
        <v/>
      </c>
      <c r="L10" s="15">
        <f>IF(COLUMN()-2&lt;6,0,IF(COLUMN()-2&lt;12,1,IF(COLUMN()-2&lt;18,2,3)))</f>
        <v/>
      </c>
      <c r="M10" s="15">
        <f>IF(COLUMN()-2&lt;6,0,IF(COLUMN()-2&lt;12,1,IF(COLUMN()-2&lt;18,2,3)))</f>
        <v/>
      </c>
      <c r="N10" s="15">
        <f>IF(COLUMN()-2&lt;6,0,IF(COLUMN()-2&lt;12,1,IF(COLUMN()-2&lt;18,2,3)))</f>
        <v/>
      </c>
      <c r="O10" s="15">
        <f>IF(COLUMN()-2&lt;6,0,IF(COLUMN()-2&lt;12,1,IF(COLUMN()-2&lt;18,2,3)))</f>
        <v/>
      </c>
      <c r="P10" s="15">
        <f>IF(COLUMN()-2&lt;6,0,IF(COLUMN()-2&lt;12,1,IF(COLUMN()-2&lt;18,2,3)))</f>
        <v/>
      </c>
      <c r="Q10" s="15">
        <f>IF(COLUMN()-2&lt;6,0,IF(COLUMN()-2&lt;12,1,IF(COLUMN()-2&lt;18,2,3)))</f>
        <v/>
      </c>
      <c r="R10" s="15">
        <f>IF(COLUMN()-2&lt;6,0,IF(COLUMN()-2&lt;12,1,IF(COLUMN()-2&lt;18,2,3)))</f>
        <v/>
      </c>
      <c r="S10" s="15">
        <f>IF(COLUMN()-2&lt;6,0,IF(COLUMN()-2&lt;12,1,IF(COLUMN()-2&lt;18,2,3)))</f>
        <v/>
      </c>
      <c r="T10" s="15">
        <f>IF(COLUMN()-2&lt;6,0,IF(COLUMN()-2&lt;12,1,IF(COLUMN()-2&lt;18,2,3)))</f>
        <v/>
      </c>
      <c r="U10" s="15">
        <f>IF(COLUMN()-2&lt;6,0,IF(COLUMN()-2&lt;12,1,IF(COLUMN()-2&lt;18,2,3)))</f>
        <v/>
      </c>
      <c r="V10" s="15">
        <f>IF(COLUMN()-2&lt;6,0,IF(COLUMN()-2&lt;12,1,IF(COLUMN()-2&lt;18,2,3)))</f>
        <v/>
      </c>
      <c r="W10" s="15">
        <f>IF(COLUMN()-2&lt;6,0,IF(COLUMN()-2&lt;12,1,IF(COLUMN()-2&lt;18,2,3)))</f>
        <v/>
      </c>
      <c r="X10" s="15">
        <f>IF(COLUMN()-2&lt;6,0,IF(COLUMN()-2&lt;12,1,IF(COLUMN()-2&lt;18,2,3)))</f>
        <v/>
      </c>
      <c r="Y10" s="15">
        <f>IF(COLUMN()-2&lt;6,0,IF(COLUMN()-2&lt;12,1,IF(COLUMN()-2&lt;18,2,3)))</f>
        <v/>
      </c>
    </row>
    <row r="11">
      <c r="A11" s="3" t="inlineStr">
        <is>
          <t>Revenue Per Employee</t>
        </is>
      </c>
      <c r="B11" s="15">
        <f>IF(B10&gt;0,Revenue!B35/B10,0)</f>
        <v/>
      </c>
      <c r="C11" s="15">
        <f>IF(C10&gt;0,Revenue!C35/C10,0)</f>
        <v/>
      </c>
      <c r="D11" s="15">
        <f>IF(D10&gt;0,Revenue!D35/D10,0)</f>
        <v/>
      </c>
      <c r="E11" s="15">
        <f>IF(E10&gt;0,Revenue!E35/E10,0)</f>
        <v/>
      </c>
      <c r="F11" s="15">
        <f>IF(F10&gt;0,Revenue!F35/F10,0)</f>
        <v/>
      </c>
      <c r="G11" s="15">
        <f>IF(G10&gt;0,Revenue!G35/G10,0)</f>
        <v/>
      </c>
      <c r="H11" s="15">
        <f>IF(H10&gt;0,Revenue!H35/H10,0)</f>
        <v/>
      </c>
      <c r="I11" s="15">
        <f>IF(I10&gt;0,Revenue!I35/I10,0)</f>
        <v/>
      </c>
      <c r="J11" s="15">
        <f>IF(J10&gt;0,Revenue!J35/J10,0)</f>
        <v/>
      </c>
      <c r="K11" s="15">
        <f>IF(K10&gt;0,Revenue!K35/K10,0)</f>
        <v/>
      </c>
      <c r="L11" s="15">
        <f>IF(L10&gt;0,Revenue!L35/L10,0)</f>
        <v/>
      </c>
      <c r="M11" s="15">
        <f>IF(M10&gt;0,Revenue!M35/M10,0)</f>
        <v/>
      </c>
      <c r="N11" s="15">
        <f>IF(N10&gt;0,Revenue!N35/N10,0)</f>
        <v/>
      </c>
      <c r="O11" s="15">
        <f>IF(O10&gt;0,Revenue!O35/O10,0)</f>
        <v/>
      </c>
      <c r="P11" s="15">
        <f>IF(P10&gt;0,Revenue!P35/P10,0)</f>
        <v/>
      </c>
      <c r="Q11" s="15">
        <f>IF(Q10&gt;0,Revenue!Q35/Q10,0)</f>
        <v/>
      </c>
      <c r="R11" s="15">
        <f>IF(R10&gt;0,Revenue!R35/R10,0)</f>
        <v/>
      </c>
      <c r="S11" s="15">
        <f>IF(S10&gt;0,Revenue!S35/S10,0)</f>
        <v/>
      </c>
      <c r="T11" s="15">
        <f>IF(T10&gt;0,Revenue!T35/T10,0)</f>
        <v/>
      </c>
      <c r="U11" s="15">
        <f>IF(U10&gt;0,Revenue!U35/U10,0)</f>
        <v/>
      </c>
      <c r="V11" s="15">
        <f>IF(V10&gt;0,Revenue!V35/V10,0)</f>
        <v/>
      </c>
      <c r="W11" s="15">
        <f>IF(W10&gt;0,Revenue!W35/W10,0)</f>
        <v/>
      </c>
      <c r="X11" s="15">
        <f>IF(X10&gt;0,Revenue!X35/X10,0)</f>
        <v/>
      </c>
      <c r="Y11" s="15">
        <f>IF(Y10&gt;0,Revenue!Y35/Y10,0)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Cash Flow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Starting Cash</t>
        </is>
      </c>
      <c r="B2" s="15">
        <f>Assumptions!$B$118</f>
        <v/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</row>
    <row r="3">
      <c r="A3" s="3" t="inlineStr">
        <is>
          <t>Monthly Net Income (EBITDA)</t>
        </is>
      </c>
      <c r="B3" s="15">
        <f>'COGS &amp; Operating Expenses'!B33</f>
        <v/>
      </c>
      <c r="C3" s="15">
        <f>'COGS &amp; Operating Expenses'!C33</f>
        <v/>
      </c>
      <c r="D3" s="15">
        <f>'COGS &amp; Operating Expenses'!D33</f>
        <v/>
      </c>
      <c r="E3" s="15">
        <f>'COGS &amp; Operating Expenses'!E33</f>
        <v/>
      </c>
      <c r="F3" s="15">
        <f>'COGS &amp; Operating Expenses'!F33</f>
        <v/>
      </c>
      <c r="G3" s="15">
        <f>'COGS &amp; Operating Expenses'!G33</f>
        <v/>
      </c>
      <c r="H3" s="15">
        <f>'COGS &amp; Operating Expenses'!H33</f>
        <v/>
      </c>
      <c r="I3" s="15">
        <f>'COGS &amp; Operating Expenses'!I33</f>
        <v/>
      </c>
      <c r="J3" s="15">
        <f>'COGS &amp; Operating Expenses'!J33</f>
        <v/>
      </c>
      <c r="K3" s="15">
        <f>'COGS &amp; Operating Expenses'!K33</f>
        <v/>
      </c>
      <c r="L3" s="15">
        <f>'COGS &amp; Operating Expenses'!L33</f>
        <v/>
      </c>
      <c r="M3" s="15">
        <f>'COGS &amp; Operating Expenses'!M33</f>
        <v/>
      </c>
      <c r="N3" s="15">
        <f>'COGS &amp; Operating Expenses'!N33</f>
        <v/>
      </c>
      <c r="O3" s="15">
        <f>'COGS &amp; Operating Expenses'!O33</f>
        <v/>
      </c>
      <c r="P3" s="15">
        <f>'COGS &amp; Operating Expenses'!P33</f>
        <v/>
      </c>
      <c r="Q3" s="15">
        <f>'COGS &amp; Operating Expenses'!Q33</f>
        <v/>
      </c>
      <c r="R3" s="15">
        <f>'COGS &amp; Operating Expenses'!R33</f>
        <v/>
      </c>
      <c r="S3" s="15">
        <f>'COGS &amp; Operating Expenses'!S33</f>
        <v/>
      </c>
      <c r="T3" s="15">
        <f>'COGS &amp; Operating Expenses'!T33</f>
        <v/>
      </c>
      <c r="U3" s="15">
        <f>'COGS &amp; Operating Expenses'!U33</f>
        <v/>
      </c>
      <c r="V3" s="15">
        <f>'COGS &amp; Operating Expenses'!V33</f>
        <v/>
      </c>
      <c r="W3" s="15">
        <f>'COGS &amp; Operating Expenses'!W33</f>
        <v/>
      </c>
      <c r="X3" s="15">
        <f>'COGS &amp; Operating Expenses'!X33</f>
        <v/>
      </c>
      <c r="Y3" s="15">
        <f>'COGS &amp; Operating Expenses'!Y33</f>
        <v/>
      </c>
    </row>
    <row r="4">
      <c r="A4" s="17" t="inlineStr">
        <is>
          <t>Cumulative Cash Position</t>
        </is>
      </c>
      <c r="B4" s="18">
        <f>Assumptions!$B$118+B3</f>
        <v/>
      </c>
      <c r="C4" s="18">
        <f>B4+C3</f>
        <v/>
      </c>
      <c r="D4" s="18">
        <f>C4+D3</f>
        <v/>
      </c>
      <c r="E4" s="18">
        <f>D4+E3</f>
        <v/>
      </c>
      <c r="F4" s="18">
        <f>E4+F3</f>
        <v/>
      </c>
      <c r="G4" s="18">
        <f>F4+G3</f>
        <v/>
      </c>
      <c r="H4" s="18">
        <f>G4+H3</f>
        <v/>
      </c>
      <c r="I4" s="18">
        <f>H4+I3</f>
        <v/>
      </c>
      <c r="J4" s="18">
        <f>I4+J3</f>
        <v/>
      </c>
      <c r="K4" s="18">
        <f>J4+K3</f>
        <v/>
      </c>
      <c r="L4" s="18">
        <f>K4+L3</f>
        <v/>
      </c>
      <c r="M4" s="18">
        <f>L4+M3</f>
        <v/>
      </c>
      <c r="N4" s="18">
        <f>M4+N3</f>
        <v/>
      </c>
      <c r="O4" s="18">
        <f>N4+O3</f>
        <v/>
      </c>
      <c r="P4" s="18">
        <f>O4+P3</f>
        <v/>
      </c>
      <c r="Q4" s="18">
        <f>P4+Q3</f>
        <v/>
      </c>
      <c r="R4" s="18">
        <f>Q4+R3</f>
        <v/>
      </c>
      <c r="S4" s="18">
        <f>R4+S3</f>
        <v/>
      </c>
      <c r="T4" s="18">
        <f>S4+T3</f>
        <v/>
      </c>
      <c r="U4" s="18">
        <f>T4+U3</f>
        <v/>
      </c>
      <c r="V4" s="18">
        <f>U4+V3</f>
        <v/>
      </c>
      <c r="W4" s="18">
        <f>V4+W3</f>
        <v/>
      </c>
      <c r="X4" s="18">
        <f>W4+X3</f>
        <v/>
      </c>
      <c r="Y4" s="18">
        <f>X4+Y3</f>
        <v/>
      </c>
    </row>
    <row r="5">
      <c r="A5" s="3" t="inlineStr">
        <is>
          <t>Monthly Burn Rate</t>
        </is>
      </c>
      <c r="B5" s="15">
        <f>IF(B3&lt;0,-B3,0)</f>
        <v/>
      </c>
      <c r="C5" s="15">
        <f>IF(C3&lt;0,-C3,0)</f>
        <v/>
      </c>
      <c r="D5" s="15">
        <f>IF(D3&lt;0,-D3,0)</f>
        <v/>
      </c>
      <c r="E5" s="15">
        <f>IF(E3&lt;0,-E3,0)</f>
        <v/>
      </c>
      <c r="F5" s="15">
        <f>IF(F3&lt;0,-F3,0)</f>
        <v/>
      </c>
      <c r="G5" s="15">
        <f>IF(G3&lt;0,-G3,0)</f>
        <v/>
      </c>
      <c r="H5" s="15">
        <f>IF(H3&lt;0,-H3,0)</f>
        <v/>
      </c>
      <c r="I5" s="15">
        <f>IF(I3&lt;0,-I3,0)</f>
        <v/>
      </c>
      <c r="J5" s="15">
        <f>IF(J3&lt;0,-J3,0)</f>
        <v/>
      </c>
      <c r="K5" s="15">
        <f>IF(K3&lt;0,-K3,0)</f>
        <v/>
      </c>
      <c r="L5" s="15">
        <f>IF(L3&lt;0,-L3,0)</f>
        <v/>
      </c>
      <c r="M5" s="15">
        <f>IF(M3&lt;0,-M3,0)</f>
        <v/>
      </c>
      <c r="N5" s="15">
        <f>IF(N3&lt;0,-N3,0)</f>
        <v/>
      </c>
      <c r="O5" s="15">
        <f>IF(O3&lt;0,-O3,0)</f>
        <v/>
      </c>
      <c r="P5" s="15">
        <f>IF(P3&lt;0,-P3,0)</f>
        <v/>
      </c>
      <c r="Q5" s="15">
        <f>IF(Q3&lt;0,-Q3,0)</f>
        <v/>
      </c>
      <c r="R5" s="15">
        <f>IF(R3&lt;0,-R3,0)</f>
        <v/>
      </c>
      <c r="S5" s="15">
        <f>IF(S3&lt;0,-S3,0)</f>
        <v/>
      </c>
      <c r="T5" s="15">
        <f>IF(T3&lt;0,-T3,0)</f>
        <v/>
      </c>
      <c r="U5" s="15">
        <f>IF(U3&lt;0,-U3,0)</f>
        <v/>
      </c>
      <c r="V5" s="15">
        <f>IF(V3&lt;0,-V3,0)</f>
        <v/>
      </c>
      <c r="W5" s="15">
        <f>IF(W3&lt;0,-W3,0)</f>
        <v/>
      </c>
      <c r="X5" s="15">
        <f>IF(X3&lt;0,-X3,0)</f>
        <v/>
      </c>
      <c r="Y5" s="15">
        <f>IF(Y3&lt;0,-Y3,0)</f>
        <v/>
      </c>
    </row>
    <row r="6">
      <c r="A6" s="3" t="inlineStr">
        <is>
          <t>Runway (months)</t>
        </is>
      </c>
      <c r="B6" s="22">
        <f>IF(AND(B5&gt;0,B4&gt;0),B4/B5,0)</f>
        <v/>
      </c>
      <c r="C6" s="22">
        <f>IF(AND(C5&gt;0,C4&gt;0),C4/C5,0)</f>
        <v/>
      </c>
      <c r="D6" s="22">
        <f>IF(AND(D5&gt;0,D4&gt;0),D4/D5,0)</f>
        <v/>
      </c>
      <c r="E6" s="22">
        <f>IF(AND(E5&gt;0,E4&gt;0),E4/E5,0)</f>
        <v/>
      </c>
      <c r="F6" s="22">
        <f>IF(AND(F5&gt;0,F4&gt;0),F4/F5,0)</f>
        <v/>
      </c>
      <c r="G6" s="22">
        <f>IF(AND(G5&gt;0,G4&gt;0),G4/G5,0)</f>
        <v/>
      </c>
      <c r="H6" s="22">
        <f>IF(AND(H5&gt;0,H4&gt;0),H4/H5,0)</f>
        <v/>
      </c>
      <c r="I6" s="22">
        <f>IF(AND(I5&gt;0,I4&gt;0),I4/I5,0)</f>
        <v/>
      </c>
      <c r="J6" s="22">
        <f>IF(AND(J5&gt;0,J4&gt;0),J4/J5,0)</f>
        <v/>
      </c>
      <c r="K6" s="22">
        <f>IF(AND(K5&gt;0,K4&gt;0),K4/K5,0)</f>
        <v/>
      </c>
      <c r="L6" s="22">
        <f>IF(AND(L5&gt;0,L4&gt;0),L4/L5,0)</f>
        <v/>
      </c>
      <c r="M6" s="22">
        <f>IF(AND(M5&gt;0,M4&gt;0),M4/M5,0)</f>
        <v/>
      </c>
      <c r="N6" s="22">
        <f>IF(AND(N5&gt;0,N4&gt;0),N4/N5,0)</f>
        <v/>
      </c>
      <c r="O6" s="22">
        <f>IF(AND(O5&gt;0,O4&gt;0),O4/O5,0)</f>
        <v/>
      </c>
      <c r="P6" s="22">
        <f>IF(AND(P5&gt;0,P4&gt;0),P4/P5,0)</f>
        <v/>
      </c>
      <c r="Q6" s="22">
        <f>IF(AND(Q5&gt;0,Q4&gt;0),Q4/Q5,0)</f>
        <v/>
      </c>
      <c r="R6" s="22">
        <f>IF(AND(R5&gt;0,R4&gt;0),R4/R5,0)</f>
        <v/>
      </c>
      <c r="S6" s="22">
        <f>IF(AND(S5&gt;0,S4&gt;0),S4/S5,0)</f>
        <v/>
      </c>
      <c r="T6" s="22">
        <f>IF(AND(T5&gt;0,T4&gt;0),T4/T5,0)</f>
        <v/>
      </c>
      <c r="U6" s="22">
        <f>IF(AND(U5&gt;0,U4&gt;0),U4/U5,0)</f>
        <v/>
      </c>
      <c r="V6" s="22">
        <f>IF(AND(V5&gt;0,V4&gt;0),V4/V5,0)</f>
        <v/>
      </c>
      <c r="W6" s="22">
        <f>IF(AND(W5&gt;0,W4&gt;0),W4/W5,0)</f>
        <v/>
      </c>
      <c r="X6" s="22">
        <f>IF(AND(X5&gt;0,X4&gt;0),X4/X5,0)</f>
        <v/>
      </c>
      <c r="Y6" s="22">
        <f>IF(AND(Y5&gt;0,Y4&gt;0),Y4/Y5,0)</f>
        <v/>
      </c>
    </row>
    <row r="8">
      <c r="A8" s="12" t="inlineStr">
        <is>
          <t>Cash Flow Positive Month:</t>
        </is>
      </c>
      <c r="B8" s="23">
        <f>IFERROR(INDEX(B1:Y1,MATCH(TRUE,B3:Y3&gt;0,0)),"Not within 24 months")</f>
        <v/>
      </c>
    </row>
  </sheetData>
  <conditionalFormatting sqref="B4:Y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:Y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Year 1 (Apr 26-Mar 27)</t>
        </is>
      </c>
      <c r="C1" s="1" t="inlineStr">
        <is>
          <t>Year 2 (Apr 27-Mar 28)</t>
        </is>
      </c>
      <c r="D1" s="1" t="inlineStr">
        <is>
          <t>YoY Growth %</t>
        </is>
      </c>
    </row>
    <row r="2">
      <c r="A2" s="2" t="inlineStr">
        <is>
          <t>KEY METRICS</t>
        </is>
      </c>
    </row>
    <row r="3">
      <c r="A3" s="3" t="inlineStr">
        <is>
          <t>End-of-Year Total Users</t>
        </is>
      </c>
      <c r="B3" s="15">
        <f>'User Growth'!M20</f>
        <v/>
      </c>
      <c r="C3" s="15">
        <f>'User Growth'!Y20</f>
        <v/>
      </c>
      <c r="D3" s="16">
        <f>IF(ABS(B3)&gt;0,(C3-B3)/ABS(B3),0)</f>
        <v/>
      </c>
    </row>
    <row r="4">
      <c r="A4" s="3" t="inlineStr">
        <is>
          <t>End-of-Year Pro Users</t>
        </is>
      </c>
      <c r="B4" s="15">
        <f>'User Growth'!M18</f>
        <v/>
      </c>
      <c r="C4" s="15">
        <f>'User Growth'!Y18</f>
        <v/>
      </c>
      <c r="D4" s="16">
        <f>IF(ABS(B4)&gt;0,(C4-B4)/ABS(B4),0)</f>
        <v/>
      </c>
    </row>
    <row r="5">
      <c r="A5" s="3" t="inlineStr">
        <is>
          <t>End-of-Year Commissioner Users</t>
        </is>
      </c>
      <c r="B5" s="15">
        <f>'User Growth'!M19</f>
        <v/>
      </c>
      <c r="C5" s="15">
        <f>'User Growth'!Y19</f>
        <v/>
      </c>
      <c r="D5" s="16">
        <f>IF(ABS(B5)&gt;0,(C5-B5)/ABS(B5),0)</f>
        <v/>
      </c>
    </row>
    <row r="7">
      <c r="A7" s="2" t="inlineStr">
        <is>
          <t>REVENUE</t>
        </is>
      </c>
    </row>
    <row r="8">
      <c r="A8" s="3" t="inlineStr">
        <is>
          <t>Net Subscription Revenue</t>
        </is>
      </c>
      <c r="B8" s="15">
        <f>SUM(Revenue!B9:Revenue!M9)</f>
        <v/>
      </c>
      <c r="C8" s="15">
        <f>SUM(Revenue!N9:Revenue!Y9)</f>
        <v/>
      </c>
      <c r="D8" s="16">
        <f>IF(ABS(B8)&gt;0,(C8-B8)/ABS(B8),0)</f>
        <v/>
      </c>
    </row>
    <row r="9">
      <c r="A9" s="3" t="inlineStr">
        <is>
          <t>Pay-Per-Use Revenue</t>
        </is>
      </c>
      <c r="B9" s="15">
        <f>SUM(Revenue!B15:Revenue!M15)</f>
        <v/>
      </c>
      <c r="C9" s="15">
        <f>SUM(Revenue!N15:Revenue!Y15)</f>
        <v/>
      </c>
      <c r="D9" s="16">
        <f>IF(ABS(B9)&gt;0,(C9-B9)/ABS(B9),0)</f>
        <v/>
      </c>
    </row>
    <row r="10">
      <c r="A10" s="3" t="inlineStr">
        <is>
          <t>DFS Rake Revenue</t>
        </is>
      </c>
      <c r="B10" s="15">
        <f>SUM(Revenue!B20:Revenue!M20)</f>
        <v/>
      </c>
      <c r="C10" s="15">
        <f>SUM(Revenue!N20:Revenue!Y20)</f>
        <v/>
      </c>
      <c r="D10" s="16">
        <f>IF(ABS(B10)&gt;0,(C10-B10)/ABS(B10),0)</f>
        <v/>
      </c>
    </row>
    <row r="11">
      <c r="A11" s="3" t="inlineStr">
        <is>
          <t>Advertising Revenue</t>
        </is>
      </c>
      <c r="B11" s="15">
        <f>SUM(Revenue!B25:Revenue!M25)</f>
        <v/>
      </c>
      <c r="C11" s="15">
        <f>SUM(Revenue!N25:Revenue!Y25)</f>
        <v/>
      </c>
      <c r="D11" s="16">
        <f>IF(ABS(B11)&gt;0,(C11-B11)/ABS(B11),0)</f>
        <v/>
      </c>
    </row>
    <row r="12">
      <c r="A12" s="3" t="inlineStr">
        <is>
          <t>Gross Revenue</t>
        </is>
      </c>
      <c r="B12" s="15">
        <f>SUM(Revenue!B27:Revenue!M27)</f>
        <v/>
      </c>
      <c r="C12" s="15">
        <f>SUM(Revenue!N27:Revenue!Y27)</f>
        <v/>
      </c>
      <c r="D12" s="16">
        <f>IF(ABS(B12)&gt;0,(C12-B12)/ABS(B12),0)</f>
        <v/>
      </c>
    </row>
    <row r="13">
      <c r="A13" s="3" t="inlineStr">
        <is>
          <t>Platform Fees</t>
        </is>
      </c>
      <c r="B13" s="15">
        <f>SUM(Revenue!B33:Revenue!M33)</f>
        <v/>
      </c>
      <c r="C13" s="15">
        <f>SUM(Revenue!N33:Revenue!Y33)</f>
        <v/>
      </c>
      <c r="D13" s="16">
        <f>IF(ABS(B13)&gt;0,(C13-B13)/ABS(B13),0)</f>
        <v/>
      </c>
    </row>
    <row r="14">
      <c r="A14" s="3" t="inlineStr">
        <is>
          <t>Net Revenue</t>
        </is>
      </c>
      <c r="B14" s="15">
        <f>SUM(Revenue!B35:Revenue!M35)</f>
        <v/>
      </c>
      <c r="C14" s="15">
        <f>SUM(Revenue!N35:Revenue!Y35)</f>
        <v/>
      </c>
      <c r="D14" s="16">
        <f>IF(ABS(B14)&gt;0,(C14-B14)/ABS(B14),0)</f>
        <v/>
      </c>
    </row>
    <row r="16">
      <c r="A16" s="2" t="inlineStr">
        <is>
          <t>COSTS</t>
        </is>
      </c>
    </row>
    <row r="17">
      <c r="A17" s="3" t="inlineStr">
        <is>
          <t>Total COGS</t>
        </is>
      </c>
      <c r="B17" s="15">
        <f>SUM('COGS &amp; Operating Expenses'!B8:'COGS &amp; Operating Expenses'!M8)</f>
        <v/>
      </c>
      <c r="C17" s="15">
        <f>SUM('COGS &amp; Operating Expenses'!N8:'COGS &amp; Operating Expenses'!Y8)</f>
        <v/>
      </c>
      <c r="D17" s="16">
        <f>IF(ABS(B17)&gt;0,(C17-B17)/ABS(B17),0)</f>
        <v/>
      </c>
    </row>
    <row r="18">
      <c r="A18" s="3" t="inlineStr">
        <is>
          <t>Gross Profit</t>
        </is>
      </c>
      <c r="B18" s="15">
        <f>SUM('COGS &amp; Operating Expenses'!B10:'COGS &amp; Operating Expenses'!M10)</f>
        <v/>
      </c>
      <c r="C18" s="15">
        <f>SUM('COGS &amp; Operating Expenses'!N10:'COGS &amp; Operating Expenses'!Y10)</f>
        <v/>
      </c>
      <c r="D18" s="16">
        <f>IF(ABS(B18)&gt;0,(C18-B18)/ABS(B18),0)</f>
        <v/>
      </c>
    </row>
    <row r="19">
      <c r="A19" s="3" t="inlineStr">
        <is>
          <t>Sales &amp; Marketing</t>
        </is>
      </c>
      <c r="B19" s="15">
        <f>SUM('COGS &amp; Operating Expenses'!B17:'COGS &amp; Operating Expenses'!M17)</f>
        <v/>
      </c>
      <c r="C19" s="15">
        <f>SUM('COGS &amp; Operating Expenses'!N17:'COGS &amp; Operating Expenses'!Y17)</f>
        <v/>
      </c>
      <c r="D19" s="16">
        <f>IF(ABS(B19)&gt;0,(C19-B19)/ABS(B19),0)</f>
        <v/>
      </c>
    </row>
    <row r="20">
      <c r="A20" s="3" t="inlineStr">
        <is>
          <t>DFS Regulatory / Licensing</t>
        </is>
      </c>
      <c r="B20" s="15">
        <f>SUM('COGS &amp; Operating Expenses'!B22:'COGS &amp; Operating Expenses'!M22)</f>
        <v/>
      </c>
      <c r="C20" s="15">
        <f>SUM('COGS &amp; Operating Expenses'!N22:'COGS &amp; Operating Expenses'!Y22)</f>
        <v/>
      </c>
      <c r="D20" s="16">
        <f>IF(ABS(B20)&gt;0,(C20-B20)/ABS(B20),0)</f>
        <v/>
      </c>
    </row>
    <row r="21">
      <c r="A21" s="3" t="inlineStr">
        <is>
          <t>Total OPEX</t>
        </is>
      </c>
      <c r="B21" s="15">
        <f>SUM('COGS &amp; Operating Expenses'!B31:'COGS &amp; Operating Expenses'!M31)</f>
        <v/>
      </c>
      <c r="C21" s="15">
        <f>SUM('COGS &amp; Operating Expenses'!N31:'COGS &amp; Operating Expenses'!Y31)</f>
        <v/>
      </c>
      <c r="D21" s="16">
        <f>IF(ABS(B21)&gt;0,(C21-B21)/ABS(B21),0)</f>
        <v/>
      </c>
    </row>
    <row r="22">
      <c r="A22" s="3" t="inlineStr">
        <is>
          <t>EBITDA / Net Income</t>
        </is>
      </c>
      <c r="B22" s="15">
        <f>SUM('COGS &amp; Operating Expenses'!B33:'COGS &amp; Operating Expenses'!M33)</f>
        <v/>
      </c>
      <c r="C22" s="15">
        <f>SUM('COGS &amp; Operating Expenses'!N33:'COGS &amp; Operating Expenses'!Y33)</f>
        <v/>
      </c>
      <c r="D22" s="16">
        <f>IF(ABS(B22)&gt;0,(C22-B22)/ABS(B22),0)</f>
        <v/>
      </c>
    </row>
    <row r="24">
      <c r="A24" s="2" t="inlineStr">
        <is>
          <t>MARGINS</t>
        </is>
      </c>
    </row>
    <row r="25">
      <c r="A25" s="3" t="inlineStr">
        <is>
          <t>Gross Margin %</t>
        </is>
      </c>
      <c r="B25" s="16">
        <f>IF(B14&lt;&gt;0,B18/B14,0)</f>
        <v/>
      </c>
      <c r="C25" s="16">
        <f>IF(C14&lt;&gt;0,C18/C14,0)</f>
        <v/>
      </c>
    </row>
    <row r="26">
      <c r="A26" s="3" t="inlineStr">
        <is>
          <t>EBITDA Margin %</t>
        </is>
      </c>
      <c r="B26" s="16">
        <f>IF(B14&lt;&gt;0,B22/B14,0)</f>
        <v/>
      </c>
      <c r="C26" s="16">
        <f>IF(C14&lt;&gt;0,C22/C14,0)</f>
        <v/>
      </c>
    </row>
  </sheetData>
  <conditionalFormatting sqref="B22:C2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2">
      <c r="A2" s="2" t="inlineStr">
        <is>
          <t>CONVERSION RATE SENSITIVITY (Y2 Pro)</t>
        </is>
      </c>
    </row>
    <row r="3">
      <c r="A3" s="1" t="inlineStr">
        <is>
          <t>Conv Rate</t>
        </is>
      </c>
      <c r="B3" s="1" t="inlineStr">
        <is>
          <t>Y2 Gross Rev (est)</t>
        </is>
      </c>
      <c r="C3" s="1" t="inlineStr">
        <is>
          <t>vs Base</t>
        </is>
      </c>
      <c r="D3" s="1" t="inlineStr"/>
      <c r="E3" s="1" t="inlineStr"/>
    </row>
    <row r="4">
      <c r="A4" s="24" t="n">
        <v>0.02</v>
      </c>
      <c r="B4" s="25">
        <f>(A4/Assumptions!$B$11)*SUM(Revenue!N9:Y9)+SUM(Revenue!N15:Y15)+SUM(Revenue!N20:Y20)+SUM(Revenue!N25:Y25)</f>
        <v/>
      </c>
      <c r="C4" s="26">
        <f>IF(SUM(Revenue!N27:Y27)&lt;&gt;0,(B4-SUM(Revenue!N27:Y27))/SUM(Revenue!N27:Y27),0)</f>
        <v/>
      </c>
    </row>
    <row r="5">
      <c r="A5" s="24" t="n">
        <v>0.035</v>
      </c>
      <c r="B5" s="25">
        <f>(A5/Assumptions!$B$11)*SUM(Revenue!N9:Y9)+SUM(Revenue!N15:Y15)+SUM(Revenue!N20:Y20)+SUM(Revenue!N25:Y25)</f>
        <v/>
      </c>
      <c r="C5" s="26">
        <f>IF(SUM(Revenue!N27:Y27)&lt;&gt;0,(B5-SUM(Revenue!N27:Y27))/SUM(Revenue!N27:Y27),0)</f>
        <v/>
      </c>
    </row>
    <row r="6">
      <c r="A6" s="24" t="n">
        <v>0.055</v>
      </c>
      <c r="B6" s="25">
        <f>(A6/Assumptions!$B$11)*SUM(Revenue!N9:Y9)+SUM(Revenue!N15:Y15)+SUM(Revenue!N20:Y20)+SUM(Revenue!N25:Y25)</f>
        <v/>
      </c>
      <c r="C6" s="26">
        <f>IF(SUM(Revenue!N27:Y27)&lt;&gt;0,(B6-SUM(Revenue!N27:Y27))/SUM(Revenue!N27:Y27),0)</f>
        <v/>
      </c>
      <c r="D6" s="23" t="inlineStr">
        <is>
          <t>&lt;-- BASE</t>
        </is>
      </c>
    </row>
    <row r="7">
      <c r="A7" s="24" t="n">
        <v>0.08</v>
      </c>
      <c r="B7" s="25">
        <f>(A7/Assumptions!$B$11)*SUM(Revenue!N9:Y9)+SUM(Revenue!N15:Y15)+SUM(Revenue!N20:Y20)+SUM(Revenue!N25:Y25)</f>
        <v/>
      </c>
      <c r="C7" s="26">
        <f>IF(SUM(Revenue!N27:Y27)&lt;&gt;0,(B7-SUM(Revenue!N27:Y27))/SUM(Revenue!N27:Y27),0)</f>
        <v/>
      </c>
    </row>
    <row r="8">
      <c r="A8" s="24" t="n">
        <v>0.1</v>
      </c>
      <c r="B8" s="25">
        <f>(A8/Assumptions!$B$11)*SUM(Revenue!N9:Y9)+SUM(Revenue!N15:Y15)+SUM(Revenue!N20:Y20)+SUM(Revenue!N25:Y25)</f>
        <v/>
      </c>
      <c r="C8" s="26">
        <f>IF(SUM(Revenue!N27:Y27)&lt;&gt;0,(B8-SUM(Revenue!N27:Y27))/SUM(Revenue!N27:Y27),0)</f>
        <v/>
      </c>
    </row>
    <row r="10">
      <c r="A10" s="2" t="inlineStr">
        <is>
          <t>CHURN RATE SENSITIVITY (Paid In-Season)</t>
        </is>
      </c>
    </row>
    <row r="11">
      <c r="A11" s="1" t="inlineStr">
        <is>
          <t>Monthly Churn</t>
        </is>
      </c>
      <c r="B11" s="1" t="inlineStr">
        <is>
          <t>Y2 Gross Rev (est)</t>
        </is>
      </c>
      <c r="C11" s="1" t="inlineStr">
        <is>
          <t>vs Base</t>
        </is>
      </c>
      <c r="D11" s="1" t="inlineStr"/>
      <c r="E11" s="1" t="inlineStr"/>
    </row>
    <row r="12">
      <c r="A12" s="24" t="n">
        <v>0.02</v>
      </c>
      <c r="B12" s="25">
        <f>((1-A12)/(1-Assumptions!$B$18))^6*SUM(Revenue!N9:Y9)+SUM(Revenue!N15:Y15)+SUM(Revenue!N20:Y20)+SUM(Revenue!N25:Y25)</f>
        <v/>
      </c>
      <c r="C12" s="26">
        <f>IF(SUM(Revenue!N27:Y27)&lt;&gt;0,(B12-SUM(Revenue!N27:Y27))/SUM(Revenue!N27:Y27),0)</f>
        <v/>
      </c>
    </row>
    <row r="13">
      <c r="A13" s="24" t="n">
        <v>0.04</v>
      </c>
      <c r="B13" s="25">
        <f>((1-A13)/(1-Assumptions!$B$18))^6*SUM(Revenue!N9:Y9)+SUM(Revenue!N15:Y15)+SUM(Revenue!N20:Y20)+SUM(Revenue!N25:Y25)</f>
        <v/>
      </c>
      <c r="C13" s="26">
        <f>IF(SUM(Revenue!N27:Y27)&lt;&gt;0,(B13-SUM(Revenue!N27:Y27))/SUM(Revenue!N27:Y27),0)</f>
        <v/>
      </c>
      <c r="D13" s="23" t="inlineStr">
        <is>
          <t>&lt;-- BASE</t>
        </is>
      </c>
    </row>
    <row r="14">
      <c r="A14" s="24" t="n">
        <v>0.06</v>
      </c>
      <c r="B14" s="25">
        <f>((1-A14)/(1-Assumptions!$B$18))^6*SUM(Revenue!N9:Y9)+SUM(Revenue!N15:Y15)+SUM(Revenue!N20:Y20)+SUM(Revenue!N25:Y25)</f>
        <v/>
      </c>
      <c r="C14" s="26">
        <f>IF(SUM(Revenue!N27:Y27)&lt;&gt;0,(B14-SUM(Revenue!N27:Y27))/SUM(Revenue!N27:Y27),0)</f>
        <v/>
      </c>
    </row>
    <row r="15">
      <c r="A15" s="24" t="n">
        <v>0.09</v>
      </c>
      <c r="B15" s="25">
        <f>((1-A15)/(1-Assumptions!$B$18))^6*SUM(Revenue!N9:Y9)+SUM(Revenue!N15:Y15)+SUM(Revenue!N20:Y20)+SUM(Revenue!N25:Y25)</f>
        <v/>
      </c>
      <c r="C15" s="26">
        <f>IF(SUM(Revenue!N27:Y27)&lt;&gt;0,(B15-SUM(Revenue!N27:Y27))/SUM(Revenue!N27:Y27),0)</f>
        <v/>
      </c>
    </row>
    <row r="16">
      <c r="A16" s="24" t="n">
        <v>0.12</v>
      </c>
      <c r="B16" s="25">
        <f>((1-A16)/(1-Assumptions!$B$18))^6*SUM(Revenue!N9:Y9)+SUM(Revenue!N15:Y15)+SUM(Revenue!N20:Y20)+SUM(Revenue!N25:Y25)</f>
        <v/>
      </c>
      <c r="C16" s="26">
        <f>IF(SUM(Revenue!N27:Y27)&lt;&gt;0,(B16-SUM(Revenue!N27:Y27))/SUM(Revenue!N27:Y27),0)</f>
        <v/>
      </c>
    </row>
    <row r="18">
      <c r="A18" s="2" t="inlineStr">
        <is>
          <t>USER GROWTH SCENARIOS</t>
        </is>
      </c>
    </row>
    <row r="19">
      <c r="A19" s="1" t="inlineStr">
        <is>
          <t>Scenario</t>
        </is>
      </c>
      <c r="B19" s="1" t="inlineStr">
        <is>
          <t>Y2 End Users (est)</t>
        </is>
      </c>
      <c r="C19" s="1" t="inlineStr">
        <is>
          <t>24-Mo Gross Rev (est)</t>
        </is>
      </c>
      <c r="D19" s="1" t="inlineStr">
        <is>
          <t>vs Base</t>
        </is>
      </c>
      <c r="E19" s="1" t="inlineStr"/>
    </row>
    <row r="20">
      <c r="A20" t="inlineStr">
        <is>
          <t>Conservative (0.5x)</t>
        </is>
      </c>
      <c r="B20" s="25">
        <f>ROUND('User Growth'!Y20*0.5,0)</f>
        <v/>
      </c>
      <c r="C20" s="25">
        <f>ROUND(SUM(Revenue!B27:Y27)*0.5,0)</f>
        <v/>
      </c>
      <c r="D20" s="26">
        <f>IF(SUM(Revenue!B27:Y27)&lt;&gt;0,(C20-SUM(Revenue!B27:Y27))/SUM(Revenue!B27:Y27),0)</f>
        <v/>
      </c>
    </row>
    <row r="21">
      <c r="A21" s="23" t="inlineStr">
        <is>
          <t>Base (1x)</t>
        </is>
      </c>
      <c r="B21" s="25">
        <f>ROUND('User Growth'!Y20*1.0,0)</f>
        <v/>
      </c>
      <c r="C21" s="25">
        <f>ROUND(SUM(Revenue!B27:Y27)*1.0,0)</f>
        <v/>
      </c>
      <c r="D21" s="26">
        <f>IF(SUM(Revenue!B27:Y27)&lt;&gt;0,(C21-SUM(Revenue!B27:Y27))/SUM(Revenue!B27:Y27),0)</f>
        <v/>
      </c>
      <c r="E21" s="23" t="inlineStr">
        <is>
          <t>&lt;-- BASE</t>
        </is>
      </c>
    </row>
    <row r="22">
      <c r="A22" t="inlineStr">
        <is>
          <t>Aggressive (2x)</t>
        </is>
      </c>
      <c r="B22" s="25">
        <f>ROUND('User Growth'!Y20*2.0,0)</f>
        <v/>
      </c>
      <c r="C22" s="25">
        <f>ROUND(SUM(Revenue!B27:Y27)*2.0,0)</f>
        <v/>
      </c>
      <c r="D22" s="26">
        <f>IF(SUM(Revenue!B27:Y27)&lt;&gt;0,(C22-SUM(Revenue!B27:Y27))/SUM(Revenue!B27:Y27),0)</f>
        <v/>
      </c>
    </row>
    <row r="23">
      <c r="A23" t="inlineStr">
        <is>
          <t>Hypergrowth (5x)</t>
        </is>
      </c>
      <c r="B23" s="25">
        <f>ROUND('User Growth'!Y20*5.0,0)</f>
        <v/>
      </c>
      <c r="C23" s="25">
        <f>ROUND(SUM(Revenue!B27:Y27)*5.0,0)</f>
        <v/>
      </c>
      <c r="D23" s="26">
        <f>IF(SUM(Revenue!B27:Y27)&lt;&gt;0,(C23-SUM(Revenue!B27:Y27))/SUM(Revenue!B27:Y27),0)</f>
        <v/>
      </c>
    </row>
    <row r="25">
      <c r="A25" s="2" t="inlineStr">
        <is>
          <t>PRICING SENSITIVITY (Pro Tier)</t>
        </is>
      </c>
    </row>
    <row r="26">
      <c r="A26" s="1" t="inlineStr">
        <is>
          <t>Pro Price</t>
        </is>
      </c>
      <c r="B26" s="1" t="inlineStr">
        <is>
          <t>Y2 Sub Rev (est)</t>
        </is>
      </c>
      <c r="C26" s="1" t="inlineStr">
        <is>
          <t>vs Base</t>
        </is>
      </c>
      <c r="D26" s="1" t="inlineStr"/>
      <c r="E26" s="1" t="inlineStr"/>
    </row>
    <row r="27">
      <c r="A27" s="27" t="n">
        <v>3.99</v>
      </c>
      <c r="B27" s="25">
        <f>ROUND((A27/Assumptions!$B$3)*IF(A27&lt;=Assumptions!$B$3,1,MAX(0.7,1-(A27-Assumptions!$B$3)*0.04))*SUM(Revenue!N9:Y9),0)</f>
        <v/>
      </c>
      <c r="C27" s="26">
        <f>IF(SUM(Revenue!N9:Y9)&lt;&gt;0,(B27-SUM(Revenue!N9:Y9))/SUM(Revenue!N9:Y9),0)</f>
        <v/>
      </c>
    </row>
    <row r="28">
      <c r="A28" s="27" t="n">
        <v>4.99</v>
      </c>
      <c r="B28" s="25">
        <f>ROUND((A28/Assumptions!$B$3)*IF(A28&lt;=Assumptions!$B$3,1,MAX(0.7,1-(A28-Assumptions!$B$3)*0.04))*SUM(Revenue!N9:Y9),0)</f>
        <v/>
      </c>
      <c r="C28" s="26">
        <f>IF(SUM(Revenue!N9:Y9)&lt;&gt;0,(B28-SUM(Revenue!N9:Y9))/SUM(Revenue!N9:Y9),0)</f>
        <v/>
      </c>
      <c r="D28" s="23" t="inlineStr">
        <is>
          <t>&lt;-- BASE</t>
        </is>
      </c>
    </row>
    <row r="29">
      <c r="A29" s="27" t="n">
        <v>6.99</v>
      </c>
      <c r="B29" s="25">
        <f>ROUND((A29/Assumptions!$B$3)*IF(A29&lt;=Assumptions!$B$3,1,MAX(0.7,1-(A29-Assumptions!$B$3)*0.04))*SUM(Revenue!N9:Y9),0)</f>
        <v/>
      </c>
      <c r="C29" s="26">
        <f>IF(SUM(Revenue!N9:Y9)&lt;&gt;0,(B29-SUM(Revenue!N9:Y9))/SUM(Revenue!N9:Y9),0)</f>
        <v/>
      </c>
    </row>
    <row r="30">
      <c r="A30" s="27" t="n">
        <v>9.99</v>
      </c>
      <c r="B30" s="25">
        <f>ROUND((A30/Assumptions!$B$3)*IF(A30&lt;=Assumptions!$B$3,1,MAX(0.7,1-(A30-Assumptions!$B$3)*0.04))*SUM(Revenue!N9:Y9),0)</f>
        <v/>
      </c>
      <c r="C30" s="26">
        <f>IF(SUM(Revenue!N9:Y9)&lt;&gt;0,(B30-SUM(Revenue!N9:Y9))/SUM(Revenue!N9:Y9),0)</f>
        <v/>
      </c>
    </row>
  </sheetData>
  <conditionalFormatting sqref="C4:C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D4:D30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75" customWidth="1" min="3" max="3"/>
  </cols>
  <sheetData>
    <row r="1">
      <c r="A1" s="1" t="inlineStr">
        <is>
          <t>Assumption / Data Point</t>
        </is>
      </c>
      <c r="B1" s="1" t="inlineStr">
        <is>
          <t>Source Name</t>
        </is>
      </c>
      <c r="C1" s="1" t="inlineStr">
        <is>
          <t>URL</t>
        </is>
      </c>
    </row>
    <row r="2">
      <c r="A2" s="2" t="inlineStr">
        <is>
          <t>CONVERSION RATES</t>
        </is>
      </c>
      <c r="B2" t="inlineStr"/>
    </row>
    <row r="3">
      <c r="A3" t="inlineStr">
        <is>
          <t>Freemium conversion benchmarks</t>
        </is>
      </c>
      <c r="B3" t="inlineStr">
        <is>
          <t>OpenView / Lenny's Newsletter</t>
        </is>
      </c>
      <c r="C3" s="28" t="inlineStr">
        <is>
          <t>https://www.lennysnewsletter.com/p/what-is-a-good-free-to-paid-conversion</t>
        </is>
      </c>
    </row>
    <row r="4">
      <c r="A4" t="inlineStr">
        <is>
          <t>Mobile freemium median 2.18%</t>
        </is>
      </c>
      <c r="B4" t="inlineStr">
        <is>
          <t>RevenueCat State of Subscription Apps 2025</t>
        </is>
      </c>
      <c r="C4" s="28" t="inlineStr">
        <is>
          <t>https://www.revenuecat.com/state-of-subscription-apps-2025/</t>
        </is>
      </c>
    </row>
    <row r="5">
      <c r="A5" t="inlineStr"/>
      <c r="B5" t="inlineStr"/>
    </row>
    <row r="6">
      <c r="A6" s="2" t="inlineStr">
        <is>
          <t>CHURN RATES</t>
        </is>
      </c>
      <c r="B6" t="inlineStr"/>
    </row>
    <row r="7">
      <c r="A7" t="inlineStr">
        <is>
          <t>Subscription churn benchmarks</t>
        </is>
      </c>
      <c r="B7" t="inlineStr">
        <is>
          <t>MarketingLTB Subscription Statistics</t>
        </is>
      </c>
      <c r="C7" s="28" t="inlineStr">
        <is>
          <t>https://marketingltb.com/blog/statistics/subscription-statistics/</t>
        </is>
      </c>
    </row>
    <row r="8">
      <c r="A8" t="inlineStr">
        <is>
          <t>Sleeper 75% annual retention</t>
        </is>
      </c>
      <c r="B8" t="inlineStr">
        <is>
          <t>Sleeper Series C PR</t>
        </is>
      </c>
      <c r="C8" s="28" t="inlineStr">
        <is>
          <t>https://www.prnewswire.com/news-releases/fantasy-sports-app-sleeper-raises-40-million-doubles-user-base-in-2021-301379179.html</t>
        </is>
      </c>
    </row>
    <row r="9">
      <c r="A9" t="inlineStr"/>
      <c r="B9" t="inlineStr"/>
    </row>
    <row r="10">
      <c r="A10" s="2" t="inlineStr">
        <is>
          <t>DFS RAKE</t>
        </is>
      </c>
      <c r="B10" t="inlineStr"/>
    </row>
    <row r="11">
      <c r="A11" t="inlineStr">
        <is>
          <t>DraftKings/FanDuel rake 10-16%</t>
        </is>
      </c>
      <c r="B11" t="inlineStr">
        <is>
          <t>Legal Sports Report</t>
        </is>
      </c>
      <c r="C11" s="28" t="inlineStr">
        <is>
          <t>https://www.legalsportsreport.com/15721/draftkings-fanduel-rake-increases/</t>
        </is>
      </c>
    </row>
    <row r="12">
      <c r="A12" t="inlineStr">
        <is>
          <t>Rake comparison data</t>
        </is>
      </c>
      <c r="B12" t="inlineStr">
        <is>
          <t>RotoPicks</t>
        </is>
      </c>
      <c r="C12" s="28" t="inlineStr">
        <is>
          <t>http://www.rotopicks.com/fantasy-leagues/rake-comparison.php</t>
        </is>
      </c>
    </row>
    <row r="13">
      <c r="A13" t="inlineStr"/>
      <c r="B13" t="inlineStr"/>
    </row>
    <row r="14">
      <c r="A14" s="2" t="inlineStr">
        <is>
          <t>ADVERTISING</t>
        </is>
      </c>
      <c r="B14" t="inlineStr"/>
    </row>
    <row r="15">
      <c r="A15" t="inlineStr">
        <is>
          <t>Mobile ad CPM rates</t>
        </is>
      </c>
      <c r="B15" t="inlineStr">
        <is>
          <t>BusinessOfApps</t>
        </is>
      </c>
      <c r="C15" s="28" t="inlineStr">
        <is>
          <t>https://www.businessofapps.com/ads/research/mobile-app-advertising-cpm-rates/</t>
        </is>
      </c>
    </row>
    <row r="16">
      <c r="A16" t="inlineStr">
        <is>
          <t>eCPM benchmarks by format</t>
        </is>
      </c>
      <c r="B16" t="inlineStr">
        <is>
          <t>Appodeal eCPM Report</t>
        </is>
      </c>
      <c r="C16" s="28" t="inlineStr">
        <is>
          <t>https://appodeal.com/blog/mobile-ecpm-report-app-ad-monetization-worldwide-performance/</t>
        </is>
      </c>
    </row>
    <row r="17">
      <c r="A17" t="inlineStr"/>
      <c r="B17" t="inlineStr"/>
    </row>
    <row r="18">
      <c r="A18" s="2" t="inlineStr">
        <is>
          <t>INFRASTRUCTURE</t>
        </is>
      </c>
      <c r="B18" t="inlineStr"/>
    </row>
    <row r="19">
      <c r="A19" t="inlineStr">
        <is>
          <t>Supabase pricing tiers</t>
        </is>
      </c>
      <c r="B19" t="inlineStr">
        <is>
          <t>Supabase Pricing</t>
        </is>
      </c>
      <c r="C19" s="28" t="inlineStr">
        <is>
          <t>https://supabase.com/pricing</t>
        </is>
      </c>
    </row>
    <row r="20">
      <c r="A20" t="inlineStr">
        <is>
          <t>Supabase true cost analysis</t>
        </is>
      </c>
      <c r="B20" t="inlineStr">
        <is>
          <t>Metacto Blog</t>
        </is>
      </c>
      <c r="C20" s="28" t="inlineStr">
        <is>
          <t>https://www.metacto.com/blogs/the-true-cost-of-supabase-a-comprehensive-guide-to-pricing-integration-and-maintenance</t>
        </is>
      </c>
    </row>
    <row r="21">
      <c r="A21" t="inlineStr">
        <is>
          <t>Firebase Hosting pricing</t>
        </is>
      </c>
      <c r="B21" t="inlineStr">
        <is>
          <t>Firebase Docs</t>
        </is>
      </c>
      <c r="C21" s="28" t="inlineStr">
        <is>
          <t>https://firebase.google.com/docs/hosting/usage-quotas-pricing</t>
        </is>
      </c>
    </row>
    <row r="22">
      <c r="A22" t="inlineStr">
        <is>
          <t>Claude API pricing (Sonnet)</t>
        </is>
      </c>
      <c r="B22" t="inlineStr">
        <is>
          <t>Anthropic Pricing — $3/M in, $15/M out, $0.30/M cached</t>
        </is>
      </c>
      <c r="C22" s="28" t="inlineStr">
        <is>
          <t>https://docs.anthropic.com/en/docs/about-claude/models</t>
        </is>
      </c>
    </row>
    <row r="23">
      <c r="A23" t="inlineStr"/>
      <c r="B23" t="inlineStr"/>
    </row>
    <row r="24">
      <c r="A24" s="2" t="inlineStr">
        <is>
          <t>PLATFORM FEES</t>
        </is>
      </c>
      <c r="B24" t="inlineStr"/>
    </row>
    <row r="25">
      <c r="A25" t="inlineStr">
        <is>
          <t>Apple Small Business Program (15%)</t>
        </is>
      </c>
      <c r="B25" t="inlineStr">
        <is>
          <t>Apple Developer</t>
        </is>
      </c>
      <c r="C25" s="28" t="inlineStr">
        <is>
          <t>https://developer.apple.com/app-store/small-business-program/</t>
        </is>
      </c>
    </row>
    <row r="26">
      <c r="A26" t="inlineStr">
        <is>
          <t>Apple SBP implementation</t>
        </is>
      </c>
      <c r="B26" t="inlineStr">
        <is>
          <t>RevenueCat Engineering Blog</t>
        </is>
      </c>
      <c r="C26" s="28" t="inlineStr">
        <is>
          <t>https://www.revenuecat.com/blog/engineering/small-business-program/</t>
        </is>
      </c>
    </row>
    <row r="27">
      <c r="A27" t="inlineStr">
        <is>
          <t>Google Play reduced fee (15%)</t>
        </is>
      </c>
      <c r="B27" t="inlineStr">
        <is>
          <t>Google Play Console</t>
        </is>
      </c>
      <c r="C27" s="28" t="inlineStr">
        <is>
          <t>https://play.google.com/console/about/programs/reducedservicefee/</t>
        </is>
      </c>
    </row>
    <row r="28">
      <c r="A28" t="inlineStr">
        <is>
          <t>Stripe processing fees</t>
        </is>
      </c>
      <c r="B28" t="inlineStr">
        <is>
          <t>Stripe Pricing</t>
        </is>
      </c>
      <c r="C28" s="28" t="inlineStr">
        <is>
          <t>https://stripe.com/pricing</t>
        </is>
      </c>
    </row>
    <row r="29">
      <c r="A29" t="inlineStr">
        <is>
          <t>Apple Developer Program $99/yr</t>
        </is>
      </c>
      <c r="B29" t="inlineStr">
        <is>
          <t>Apple Developer</t>
        </is>
      </c>
      <c r="C29" s="28" t="inlineStr">
        <is>
          <t>https://developer.apple.com/support/enrollment/</t>
        </is>
      </c>
    </row>
    <row r="30">
      <c r="A30" t="inlineStr"/>
      <c r="B30" t="inlineStr"/>
    </row>
    <row r="31">
      <c r="A31" s="2" t="inlineStr">
        <is>
          <t>DFS REGULATORY — CANADA</t>
        </is>
      </c>
      <c r="B31" t="inlineStr"/>
    </row>
    <row r="32">
      <c r="A32" t="inlineStr">
        <is>
          <t>Canadian Criminal Code s.206 skill exemption</t>
        </is>
      </c>
      <c r="B32" t="inlineStr">
        <is>
          <t>Criminal Code of Canada — Contest provisions</t>
        </is>
      </c>
      <c r="C32" s="28" t="inlineStr">
        <is>
          <t>https://laws-lois.justice.gc.ca/eng/acts/c-46/page-46.html</t>
        </is>
      </c>
    </row>
    <row r="33">
      <c r="A33" t="inlineStr">
        <is>
          <t>Ontario iGaming framework (2022+)</t>
        </is>
      </c>
      <c r="B33" t="inlineStr">
        <is>
          <t>iGaming Ontario — Operator Registration</t>
        </is>
      </c>
      <c r="C33" s="28" t="inlineStr">
        <is>
          <t>https://igamingontario.ca/en/operators</t>
        </is>
      </c>
    </row>
    <row r="34">
      <c r="A34" t="inlineStr">
        <is>
          <t>AGCO gaming registration requirements</t>
        </is>
      </c>
      <c r="B34" t="inlineStr">
        <is>
          <t>Alcohol &amp; Gaming Commission of Ontario</t>
        </is>
      </c>
      <c r="C34" s="28" t="inlineStr">
        <is>
          <t>https://www.agco.ca/igaming</t>
        </is>
      </c>
    </row>
    <row r="35">
      <c r="A35" t="inlineStr">
        <is>
          <t>FINTRAC AML obligations for gaming</t>
        </is>
      </c>
      <c r="B35" t="inlineStr">
        <is>
          <t>FINTRAC — Reporting Entity Requirements</t>
        </is>
      </c>
      <c r="C35" s="28" t="inlineStr">
        <is>
          <t>https://fintrac-canafe.canada.ca/re-ed/intro-eng</t>
        </is>
      </c>
    </row>
    <row r="36">
      <c r="A36" t="inlineStr">
        <is>
          <t>Provincial gaming oversight (AB/BC/QC)</t>
        </is>
      </c>
      <c r="B36" t="inlineStr">
        <is>
          <t>Varies by province — nominal registration fees</t>
        </is>
      </c>
    </row>
    <row r="37">
      <c r="A37" t="inlineStr"/>
      <c r="B37" t="inlineStr"/>
    </row>
    <row r="38">
      <c r="A38" s="2" t="inlineStr">
        <is>
          <t>MARKETING / CAC</t>
        </is>
      </c>
      <c r="B38" t="inlineStr"/>
    </row>
    <row r="39">
      <c r="A39" t="inlineStr">
        <is>
          <t>DraftKings/FanDuel CAC $200-350</t>
        </is>
      </c>
      <c r="B39" t="inlineStr">
        <is>
          <t>BusinessOfApps UA Costs</t>
        </is>
      </c>
      <c r="C39" s="28" t="inlineStr">
        <is>
          <t>https://www.businessofapps.com/marketplace/user-acquisition/research/user-acquisition-costs/</t>
        </is>
      </c>
    </row>
    <row r="40">
      <c r="A40" t="inlineStr">
        <is>
          <t>NA Mobile CPI $5.28</t>
        </is>
      </c>
      <c r="B40" t="inlineStr">
        <is>
          <t>BusinessOfApps UA Costs</t>
        </is>
      </c>
      <c r="C40" s="28" t="inlineStr">
        <is>
          <t>https://www.businessofapps.com/marketplace/user-acquisition/research/user-acquisition-costs/</t>
        </is>
      </c>
    </row>
    <row r="41">
      <c r="A41" t="inlineStr"/>
      <c r="B41" t="inlineStr"/>
    </row>
    <row r="42">
      <c r="A42" s="2" t="inlineStr">
        <is>
          <t>MARKET DATA</t>
        </is>
      </c>
      <c r="B42" t="inlineStr"/>
    </row>
    <row r="43">
      <c r="A43" t="inlineStr">
        <is>
          <t>Fantasy sports market $32B, 14.1% CAGR</t>
        </is>
      </c>
      <c r="B43" t="inlineStr">
        <is>
          <t>Mordor Intelligence</t>
        </is>
      </c>
      <c r="C43" s="28" t="inlineStr">
        <is>
          <t>https://www.mordorintelligence.com/industry-reports/north-america-fantasy-sports-market</t>
        </is>
      </c>
    </row>
    <row r="44">
      <c r="A44" t="inlineStr">
        <is>
          <t>Sleeper $40M Series C, 3M+ users</t>
        </is>
      </c>
      <c r="B44" t="inlineStr">
        <is>
          <t>PR Newswire</t>
        </is>
      </c>
      <c r="C44" s="28" t="inlineStr">
        <is>
          <t>https://www.prnewswire.com/news-releases/fantasy-sports-app-sleeper-raises-40-million-doubles-user-base-in-2021-301379179.html</t>
        </is>
      </c>
    </row>
    <row r="45">
      <c r="A45" t="inlineStr"/>
      <c r="B45" t="inlineStr"/>
    </row>
    <row r="46">
      <c r="A46" s="2" t="inlineStr">
        <is>
          <t>METHODOLOGY NOTES</t>
        </is>
      </c>
      <c r="B46" t="inlineStr"/>
    </row>
    <row r="47">
      <c r="A47" t="inlineStr">
        <is>
          <t>User growth model</t>
        </is>
      </c>
      <c r="B47" t="inlineStr">
        <is>
          <t>Bottom-up monthly cohort model with seasonal multipliers</t>
        </is>
      </c>
    </row>
    <row r="48">
      <c r="A48" t="inlineStr">
        <is>
          <t>Conversion timing</t>
        </is>
      </c>
      <c r="B48" t="inlineStr">
        <is>
          <t>In-season 1.8x multiplier, off-season 0.4x</t>
        </is>
      </c>
    </row>
    <row r="49">
      <c r="A49" t="inlineStr">
        <is>
          <t>Churn model</t>
        </is>
      </c>
      <c r="B49" t="inlineStr">
        <is>
          <t>Monthly churn with seasonal variation (in vs off-season)</t>
        </is>
      </c>
    </row>
    <row r="50">
      <c r="A50" t="inlineStr">
        <is>
          <t>Revenue recognition</t>
        </is>
      </c>
      <c r="B50" t="inlineStr">
        <is>
          <t>Subscription recognized monthly; annual billing amortized</t>
        </is>
      </c>
    </row>
    <row r="51">
      <c r="A51" t="inlineStr">
        <is>
          <t>Marketing timing</t>
        </is>
      </c>
      <c r="B51" t="inlineStr">
        <is>
          <t>No marketing spend pre-launch; starts at configurable launch month</t>
        </is>
      </c>
    </row>
    <row r="52">
      <c r="A52" t="inlineStr">
        <is>
          <t>Platform fee allocation</t>
        </is>
      </c>
      <c r="B52" t="inlineStr">
        <is>
          <t>70% mobile (60/40 iOS/Android), 30% web (Stripe)</t>
        </is>
      </c>
    </row>
    <row r="53">
      <c r="A53" t="inlineStr">
        <is>
          <t>COGS scaling</t>
        </is>
      </c>
      <c r="B53" t="inlineStr">
        <is>
          <t>Supabase upgrades at 50K users; Claude API scales per-query</t>
        </is>
      </c>
    </row>
    <row r="54">
      <c r="A54" t="inlineStr">
        <is>
          <t>DFS regulatory (Canada)</t>
        </is>
      </c>
      <c r="B54" t="inlineStr">
        <is>
          <t>Ontario iGaming + provincial fees + FINTRAC AML triggers at 100K users</t>
        </is>
      </c>
    </row>
    <row r="55">
      <c r="A55" t="inlineStr">
        <is>
          <t>DFS launch</t>
        </is>
      </c>
      <c r="B55" t="inlineStr">
        <is>
          <t>Month 19 (Oct 2027) per product roadmap</t>
        </is>
      </c>
    </row>
    <row r="56">
      <c r="A56" t="inlineStr"/>
      <c r="B56" t="inlineStr"/>
    </row>
    <row r="57">
      <c r="A57" s="2" t="inlineStr">
        <is>
          <t>DYNAMIC MODEL NOTE</t>
        </is>
      </c>
      <c r="B57" t="inlineStr"/>
    </row>
    <row r="58">
      <c r="A58" t="inlineStr">
        <is>
          <t>All computed cells use Excel formulas</t>
        </is>
      </c>
      <c r="B58" t="inlineStr">
        <is>
          <t>Change any yellow input cell to recalculate instantly</t>
        </is>
      </c>
    </row>
    <row r="59">
      <c r="A59" t="inlineStr">
        <is>
          <t>Input cells on Assumptions tab</t>
        </is>
      </c>
      <c r="B59" t="inlineStr">
        <is>
          <t>All model inputs: pricing, rates, costs, AND monthly new user targets</t>
        </is>
      </c>
    </row>
    <row r="60">
      <c r="A60" t="inlineStr">
        <is>
          <t>Input cells on COGS tab</t>
        </is>
      </c>
      <c r="B60" t="inlineStr">
        <is>
          <t>Monthly conference/travel costs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2026-03-26T15:52:13Z</dcterms:created>
  <dcterms:modified xsi:type="dcterms:W3CDTF">2026-03-26T15:52:13Z</dcterms:modified>
</cp:coreProperties>
</file>