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Premium Features Launch Threshold</t>
        </is>
      </c>
      <c r="B10" s="7" t="n">
        <v>10000</v>
      </c>
      <c r="C10" s="5" t="inlineStr">
        <is>
          <t>users</t>
        </is>
      </c>
      <c r="D10" t="inlineStr">
        <is>
          <t>No paid tiers until user base hits this</t>
        </is>
      </c>
    </row>
    <row r="11">
      <c r="A11" s="3" t="inlineStr">
        <is>
          <t>Free → Pro Y1</t>
        </is>
      </c>
      <c r="B11" s="6" t="n">
        <v>0.025</v>
      </c>
      <c r="C11" s="5" t="inlineStr">
        <is>
          <t>%</t>
        </is>
      </c>
      <c r="D11" t="inlineStr">
        <is>
          <t>RevenueCat median 2.18%; niche premium</t>
        </is>
      </c>
    </row>
    <row r="12">
      <c r="A12" s="3" t="inlineStr">
        <is>
          <t>Free → Pro Y2</t>
        </is>
      </c>
      <c r="B12" s="6" t="n">
        <v>0.055</v>
      </c>
      <c r="C12" s="5" t="inlineStr">
        <is>
          <t>%</t>
        </is>
      </c>
      <c r="D12" t="inlineStr">
        <is>
          <t>Product maturation + mobile</t>
        </is>
      </c>
    </row>
    <row r="13">
      <c r="A13" s="3" t="inlineStr">
        <is>
          <t>Free → Commissioner Y1</t>
        </is>
      </c>
      <c r="B13" s="6" t="n">
        <v>0.008</v>
      </c>
      <c r="C13" s="5" t="inlineStr">
        <is>
          <t>%</t>
        </is>
      </c>
      <c r="D13" t="inlineStr">
        <is>
          <t>Power-user tier</t>
        </is>
      </c>
    </row>
    <row r="14">
      <c r="A14" s="3" t="inlineStr">
        <is>
          <t>Free → Commissioner Y2</t>
        </is>
      </c>
      <c r="B14" s="6" t="n">
        <v>0.015</v>
      </c>
      <c r="C14" s="5" t="inlineStr">
        <is>
          <t>%</t>
        </is>
      </c>
      <c r="D14" t="inlineStr"/>
    </row>
    <row r="15">
      <c r="A15" s="3" t="inlineStr">
        <is>
          <t>In-Season Multiplier</t>
        </is>
      </c>
      <c r="B15" s="8" t="n">
        <v>1.8</v>
      </c>
      <c r="C15" s="5" t="inlineStr">
        <is>
          <t>x</t>
        </is>
      </c>
      <c r="D15" t="inlineStr">
        <is>
          <t>NHL engagement seasonality</t>
        </is>
      </c>
    </row>
    <row r="16">
      <c r="A16" s="3" t="inlineStr">
        <is>
          <t>Off-Season Multiplier</t>
        </is>
      </c>
      <c r="B16" s="8" t="n">
        <v>0.4</v>
      </c>
      <c r="C16" s="5" t="inlineStr">
        <is>
          <t>x</t>
        </is>
      </c>
      <c r="D16" t="inlineStr"/>
    </row>
    <row r="17">
      <c r="A17" t="inlineStr"/>
    </row>
    <row r="18">
      <c r="A18" t="inlineStr">
        <is>
          <t>CHURN RATES (Monthly)</t>
        </is>
      </c>
    </row>
    <row r="19">
      <c r="A19" s="3" t="inlineStr">
        <is>
          <t>Pro In-Season</t>
        </is>
      </c>
      <c r="B19" s="6" t="n">
        <v>0.04</v>
      </c>
      <c r="C19" s="5" t="inlineStr">
        <is>
          <t>%</t>
        </is>
      </c>
      <c r="D19" t="inlineStr">
        <is>
          <t>Below mobile avg 9%</t>
        </is>
      </c>
    </row>
    <row r="20">
      <c r="A20" s="3" t="inlineStr">
        <is>
          <t>Pro Off-Season</t>
        </is>
      </c>
      <c r="B20" s="6" t="n">
        <v>0.12</v>
      </c>
      <c r="C20" s="5" t="inlineStr">
        <is>
          <t>%</t>
        </is>
      </c>
      <c r="D20" t="inlineStr">
        <is>
          <t>Seasonal disengagement</t>
        </is>
      </c>
    </row>
    <row r="21">
      <c r="A21" s="3" t="inlineStr">
        <is>
          <t>Commissioner In-Season</t>
        </is>
      </c>
      <c r="B21" s="6" t="n">
        <v>0.025</v>
      </c>
      <c r="C21" s="5" t="inlineStr">
        <is>
          <t>%</t>
        </is>
      </c>
      <c r="D21" t="inlineStr">
        <is>
          <t>Stickier — league mgmt</t>
        </is>
      </c>
    </row>
    <row r="22">
      <c r="A22" s="3" t="inlineStr">
        <is>
          <t>Commissioner Off-Season</t>
        </is>
      </c>
      <c r="B22" s="6" t="n">
        <v>0.08</v>
      </c>
      <c r="C22" s="5" t="inlineStr">
        <is>
          <t>%</t>
        </is>
      </c>
      <c r="D22" t="inlineStr"/>
    </row>
    <row r="23">
      <c r="A23" s="3" t="inlineStr">
        <is>
          <t>Free In-Season</t>
        </is>
      </c>
      <c r="B23" s="6" t="n">
        <v>0.06</v>
      </c>
      <c r="C23" s="5" t="inlineStr">
        <is>
          <t>%</t>
        </is>
      </c>
      <c r="D23" t="inlineStr"/>
    </row>
    <row r="24">
      <c r="A24" s="3" t="inlineStr">
        <is>
          <t>Free Off-Season</t>
        </is>
      </c>
      <c r="B24" s="6" t="n">
        <v>0.15</v>
      </c>
      <c r="C24" s="5" t="inlineStr">
        <is>
          <t>%</t>
        </is>
      </c>
      <c r="D24" t="inlineStr"/>
    </row>
    <row r="25">
      <c r="A25" t="inlineStr"/>
    </row>
    <row r="26">
      <c r="A26" t="inlineStr">
        <is>
          <t>STORMY AI — TOKEN BUDGETS (per tier)</t>
        </is>
      </c>
    </row>
    <row r="27">
      <c r="A27" s="3" t="inlineStr">
        <is>
          <t>Free Tier Tokens/mo</t>
        </is>
      </c>
      <c r="B27" s="7" t="n">
        <v>5000</v>
      </c>
      <c r="C27" s="5" t="inlineStr">
        <is>
          <t>tokens</t>
        </is>
      </c>
      <c r="D27" t="inlineStr">
        <is>
          <t>~2-3 short questions</t>
        </is>
      </c>
    </row>
    <row r="28">
      <c r="A28" s="3" t="inlineStr">
        <is>
          <t>Pro Tier Tokens/mo</t>
        </is>
      </c>
      <c r="B28" s="7" t="n">
        <v>50000</v>
      </c>
      <c r="C28" s="5" t="inlineStr">
        <is>
          <t>tokens</t>
        </is>
      </c>
      <c r="D28" t="inlineStr">
        <is>
          <t>~25 questions/mo</t>
        </is>
      </c>
    </row>
    <row r="29">
      <c r="A29" s="3" t="inlineStr">
        <is>
          <t>Commissioner Tier Tokens/mo</t>
        </is>
      </c>
      <c r="B29" s="7" t="n">
        <v>150000</v>
      </c>
      <c r="C29" s="5" t="inlineStr">
        <is>
          <t>tokens</t>
        </is>
      </c>
      <c r="D29" t="inlineStr">
        <is>
          <t>~75 questions/mo</t>
        </is>
      </c>
    </row>
    <row r="30">
      <c r="A30" t="inlineStr"/>
    </row>
    <row r="31">
      <c r="A31" t="inlineStr">
        <is>
          <t>PAY-PER-USE (Token Top-Up Packs)</t>
        </is>
      </c>
    </row>
    <row r="32">
      <c r="A32" s="3" t="inlineStr">
        <is>
          <t>Free User Token Pack</t>
        </is>
      </c>
      <c r="B32" s="4" t="n">
        <v>2.99</v>
      </c>
      <c r="C32" s="5" t="inlineStr">
        <is>
          <t>USD</t>
        </is>
      </c>
      <c r="D32" t="inlineStr">
        <is>
          <t>25K tokens — $0.12/1K (premium)</t>
        </is>
      </c>
    </row>
    <row r="33">
      <c r="A33" s="3" t="inlineStr">
        <is>
          <t>Paid User Token Pack</t>
        </is>
      </c>
      <c r="B33" s="4" t="n">
        <v>1.99</v>
      </c>
      <c r="C33" s="5" t="inlineStr">
        <is>
          <t>USD</t>
        </is>
      </c>
      <c r="D33" t="inlineStr">
        <is>
          <t>100K tokens — $0.02/1K (subscriber perk)</t>
        </is>
      </c>
    </row>
    <row r="34">
      <c r="A34" s="3" t="inlineStr">
        <is>
          <t>Top-Up Attach — Free Users</t>
        </is>
      </c>
      <c r="B34" s="6" t="n">
        <v>0.03</v>
      </c>
      <c r="C34" s="5" t="inlineStr">
        <is>
          <t>%/mo</t>
        </is>
      </c>
      <c r="D34" t="inlineStr">
        <is>
          <t>Hit limit, want more</t>
        </is>
      </c>
    </row>
    <row r="35">
      <c r="A35" s="3" t="inlineStr">
        <is>
          <t>Top-Up Attach — Pro/Comm</t>
        </is>
      </c>
      <c r="B35" s="6" t="n">
        <v>0.08</v>
      </c>
      <c r="C35" s="5" t="inlineStr">
        <is>
          <t>%/mo</t>
        </is>
      </c>
      <c r="D35" t="inlineStr">
        <is>
          <t>Power users exceeding budget</t>
        </is>
      </c>
    </row>
    <row r="36">
      <c r="A36" s="3" t="inlineStr">
        <is>
          <t>Draft Kit Price</t>
        </is>
      </c>
      <c r="B36" s="4" t="n">
        <v>4.99</v>
      </c>
      <c r="C36" s="5" t="inlineStr">
        <is>
          <t>USD</t>
        </is>
      </c>
      <c r="D36" t="inlineStr">
        <is>
          <t>One-time per season</t>
        </is>
      </c>
    </row>
    <row r="37">
      <c r="A37" s="3" t="inlineStr">
        <is>
          <t>Draft Kit Attach Rate</t>
        </is>
      </c>
      <c r="B37" s="6" t="n">
        <v>0.08</v>
      </c>
      <c r="C37" s="5" t="inlineStr">
        <is>
          <t>%</t>
        </is>
      </c>
      <c r="D37" t="inlineStr">
        <is>
          <t>All users in draft months</t>
        </is>
      </c>
    </row>
    <row r="38">
      <c r="A38" t="inlineStr"/>
    </row>
    <row r="39">
      <c r="A39" s="2" t="inlineStr">
        <is>
          <t>DFS</t>
        </is>
      </c>
    </row>
    <row r="40">
      <c r="A40" s="3" t="inlineStr">
        <is>
          <t>DFS Rake</t>
        </is>
      </c>
      <c r="B40" s="6" t="n">
        <v>0.12</v>
      </c>
      <c r="C40" s="5" t="inlineStr">
        <is>
          <t>%</t>
        </is>
      </c>
      <c r="D40" t="inlineStr">
        <is>
          <t>DK/FD range 10-16%</t>
        </is>
      </c>
    </row>
    <row r="41">
      <c r="A41" s="3" t="inlineStr">
        <is>
          <t>Average Entry Fee</t>
        </is>
      </c>
      <c r="B41" s="4" t="n">
        <v>5</v>
      </c>
      <c r="C41" s="5" t="inlineStr">
        <is>
          <t>USD</t>
        </is>
      </c>
      <c r="D41" t="inlineStr"/>
    </row>
    <row r="42">
      <c r="A42" s="3" t="inlineStr">
        <is>
          <t>Participation Rate</t>
        </is>
      </c>
      <c r="B42" s="6" t="n">
        <v>0.05</v>
      </c>
      <c r="C42" s="5" t="inlineStr">
        <is>
          <t>%</t>
        </is>
      </c>
      <c r="D42" t="inlineStr">
        <is>
          <t>Hockey-only; DK ~10% all sports</t>
        </is>
      </c>
    </row>
    <row r="43">
      <c r="A43" s="3" t="inlineStr">
        <is>
          <t>Entries per User per Month</t>
        </is>
      </c>
      <c r="B43" s="7" t="n">
        <v>5</v>
      </c>
      <c r="C43" s="5" t="inlineStr">
        <is>
          <t>#</t>
        </is>
      </c>
      <c r="D43" t="inlineStr"/>
    </row>
    <row r="44">
      <c r="A44" s="3" t="inlineStr">
        <is>
          <t>DFS Launch Month Index</t>
        </is>
      </c>
      <c r="B44" s="7" t="n">
        <v>18</v>
      </c>
      <c r="C44" s="5" t="inlineStr">
        <is>
          <t>0-based</t>
        </is>
      </c>
      <c r="D44" t="inlineStr">
        <is>
          <t>Oct 2027</t>
        </is>
      </c>
    </row>
    <row r="45">
      <c r="A45" t="inlineStr"/>
    </row>
    <row r="46">
      <c r="A46" t="inlineStr">
        <is>
          <t>ADVERTISING (web only — no mobile app ads)</t>
        </is>
      </c>
    </row>
    <row r="47">
      <c r="A47" s="3" t="inlineStr">
        <is>
          <t>Blended eCPM</t>
        </is>
      </c>
      <c r="B47" s="4" t="n">
        <v>6</v>
      </c>
      <c r="C47" s="5" t="inlineStr">
        <is>
          <t>USD</t>
        </is>
      </c>
      <c r="D47" t="inlineStr">
        <is>
          <t>BusinessOfApps/Appodeal — web display</t>
        </is>
      </c>
    </row>
    <row r="48">
      <c r="A48" s="3" t="inlineStr">
        <is>
          <t>Pageviews/Free User In-Season</t>
        </is>
      </c>
      <c r="B48" s="7" t="n">
        <v>100</v>
      </c>
      <c r="C48" s="5" t="inlineStr">
        <is>
          <t>#/mo</t>
        </is>
      </c>
      <c r="D48" t="inlineStr"/>
    </row>
    <row r="49">
      <c r="A49" s="3" t="inlineStr">
        <is>
          <t>Pageviews/Free User Off-Season</t>
        </is>
      </c>
      <c r="B49" s="7" t="n">
        <v>50</v>
      </c>
      <c r="C49" s="5" t="inlineStr">
        <is>
          <t>#/mo</t>
        </is>
      </c>
      <c r="D49" t="inlineStr"/>
    </row>
    <row r="50">
      <c r="A50" s="3" t="inlineStr">
        <is>
          <t>Ad-Eligible % (web users only)</t>
        </is>
      </c>
      <c r="B50" s="6" t="n">
        <v>0.24</v>
      </c>
      <c r="C50" s="5" t="inlineStr">
        <is>
          <t>%</t>
        </is>
      </c>
      <c r="D50" t="inlineStr">
        <is>
          <t>30% web × 80% no ad-blocker</t>
        </is>
      </c>
    </row>
    <row r="51">
      <c r="A51" t="inlineStr"/>
    </row>
    <row r="52">
      <c r="A52" s="2" t="inlineStr">
        <is>
          <t>INFRASTRUCTURE</t>
        </is>
      </c>
    </row>
    <row r="53">
      <c r="A53" s="3" t="inlineStr">
        <is>
          <t>Supabase Pro</t>
        </is>
      </c>
      <c r="B53" s="7" t="n">
        <v>25</v>
      </c>
      <c r="C53" s="5" t="inlineStr">
        <is>
          <t>USD/mo</t>
        </is>
      </c>
      <c r="D53" t="inlineStr">
        <is>
          <t>supabase.com/pricing</t>
        </is>
      </c>
    </row>
    <row r="54">
      <c r="A54" s="3" t="inlineStr">
        <is>
          <t>Supabase Team (&gt;threshold)</t>
        </is>
      </c>
      <c r="B54" s="7" t="n">
        <v>599</v>
      </c>
      <c r="C54" s="5" t="inlineStr">
        <is>
          <t>USD/mo</t>
        </is>
      </c>
      <c r="D54" t="inlineStr">
        <is>
          <t>supabase.com/pricing</t>
        </is>
      </c>
    </row>
    <row r="55">
      <c r="A55" s="3" t="inlineStr">
        <is>
          <t>Supabase User Threshold</t>
        </is>
      </c>
      <c r="B55" s="7" t="n">
        <v>50000</v>
      </c>
      <c r="C55" s="5" t="inlineStr">
        <is>
          <t>users</t>
        </is>
      </c>
      <c r="D55" t="inlineStr"/>
    </row>
    <row r="56">
      <c r="A56" s="3" t="inlineStr">
        <is>
          <t>Firebase Base Cost</t>
        </is>
      </c>
      <c r="B56" s="7" t="n">
        <v>5</v>
      </c>
      <c r="C56" s="5" t="inlineStr">
        <is>
          <t>USD/mo</t>
        </is>
      </c>
      <c r="D56" t="inlineStr">
        <is>
          <t>firebase.google.com</t>
        </is>
      </c>
    </row>
    <row r="57">
      <c r="A57" s="3" t="inlineStr">
        <is>
          <t>Firebase Scaling per User</t>
        </is>
      </c>
      <c r="B57" s="9" t="n">
        <v>0.001</v>
      </c>
      <c r="C57" s="5" t="inlineStr">
        <is>
          <t>USD/user</t>
        </is>
      </c>
      <c r="D57" t="inlineStr">
        <is>
          <t>Rough estimate</t>
        </is>
      </c>
    </row>
    <row r="58">
      <c r="A58" s="3" t="inlineStr">
        <is>
          <t>Claude API Cost per 1M Tokens</t>
        </is>
      </c>
      <c r="B58" s="4" t="n">
        <v>5</v>
      </c>
      <c r="C58" s="5" t="inlineStr">
        <is>
          <t>USD/1M tok</t>
        </is>
      </c>
      <c r="D58" t="inlineStr">
        <is>
          <t>Blended Sonnet: $3 in + $15 out + caching</t>
        </is>
      </c>
    </row>
    <row r="59">
      <c r="A59" s="3" t="inlineStr">
        <is>
          <t>Proxy Rotation</t>
        </is>
      </c>
      <c r="B59" s="7" t="n">
        <v>100</v>
      </c>
      <c r="C59" s="5" t="inlineStr">
        <is>
          <t>USD/mo</t>
        </is>
      </c>
      <c r="D59" t="inlineStr"/>
    </row>
    <row r="60">
      <c r="A60" s="3" t="inlineStr">
        <is>
          <t>Domain / SSL / Misc</t>
        </is>
      </c>
      <c r="B60" s="7" t="n">
        <v>20</v>
      </c>
      <c r="C60" s="5" t="inlineStr">
        <is>
          <t>USD/mo</t>
        </is>
      </c>
      <c r="D60" t="inlineStr"/>
    </row>
    <row r="61">
      <c r="A61" t="inlineStr"/>
    </row>
    <row r="62">
      <c r="A62" s="2" t="inlineStr">
        <is>
          <t>PLATFORM FEES</t>
        </is>
      </c>
    </row>
    <row r="63">
      <c r="A63" s="3" t="inlineStr">
        <is>
          <t>Apple App Store Commission</t>
        </is>
      </c>
      <c r="B63" s="6" t="n">
        <v>0.15</v>
      </c>
      <c r="C63" s="5" t="inlineStr">
        <is>
          <t>%</t>
        </is>
      </c>
      <c r="D63" t="inlineStr">
        <is>
          <t>Small Business Program</t>
        </is>
      </c>
    </row>
    <row r="64">
      <c r="A64" s="3" t="inlineStr">
        <is>
          <t>Google Play Commission</t>
        </is>
      </c>
      <c r="B64" s="6" t="n">
        <v>0.15</v>
      </c>
      <c r="C64" s="5" t="inlineStr">
        <is>
          <t>%</t>
        </is>
      </c>
      <c r="D64" t="inlineStr">
        <is>
          <t>Reduced service fee</t>
        </is>
      </c>
    </row>
    <row r="65">
      <c r="A65" s="3" t="inlineStr">
        <is>
          <t>Stripe Processing %</t>
        </is>
      </c>
      <c r="B65" s="10" t="n">
        <v>0.029</v>
      </c>
      <c r="C65" s="5" t="inlineStr">
        <is>
          <t>%</t>
        </is>
      </c>
      <c r="D65" t="inlineStr">
        <is>
          <t>stripe.com/pricing</t>
        </is>
      </c>
    </row>
    <row r="66">
      <c r="A66" s="3" t="inlineStr">
        <is>
          <t>Stripe Flat Fee</t>
        </is>
      </c>
      <c r="B66" s="4" t="n">
        <v>0.3</v>
      </c>
      <c r="C66" s="5" t="inlineStr">
        <is>
          <t>USD/txn</t>
        </is>
      </c>
      <c r="D66" t="inlineStr"/>
    </row>
    <row r="67">
      <c r="A67" s="3" t="inlineStr">
        <is>
          <t>Mobile Revenue — iOS %</t>
        </is>
      </c>
      <c r="B67" s="6" t="n">
        <v>0.6</v>
      </c>
      <c r="C67" s="5" t="inlineStr">
        <is>
          <t>%</t>
        </is>
      </c>
      <c r="D67" t="inlineStr"/>
    </row>
    <row r="68">
      <c r="A68" s="3" t="inlineStr">
        <is>
          <t>Mobile Revenue — Android %</t>
        </is>
      </c>
      <c r="B68" s="6" t="n">
        <v>0.4</v>
      </c>
      <c r="C68" s="5" t="inlineStr">
        <is>
          <t>%</t>
        </is>
      </c>
      <c r="D68" t="inlineStr"/>
    </row>
    <row r="69">
      <c r="A69" s="3" t="inlineStr">
        <is>
          <t>Mobile vs Web — Mobile %</t>
        </is>
      </c>
      <c r="B69" s="6" t="n">
        <v>0.7</v>
      </c>
      <c r="C69" s="5" t="inlineStr">
        <is>
          <t>%</t>
        </is>
      </c>
      <c r="D69" t="inlineStr"/>
    </row>
    <row r="70">
      <c r="A70" s="3" t="inlineStr">
        <is>
          <t>Apple Developer Annual</t>
        </is>
      </c>
      <c r="B70" s="7" t="n">
        <v>99</v>
      </c>
      <c r="C70" s="5" t="inlineStr">
        <is>
          <t>USD/yr</t>
        </is>
      </c>
      <c r="D70" t="inlineStr"/>
    </row>
    <row r="71">
      <c r="A71" s="3" t="inlineStr">
        <is>
          <t>Google Play Registration</t>
        </is>
      </c>
      <c r="B71" s="7" t="n">
        <v>25</v>
      </c>
      <c r="C71" s="5" t="inlineStr">
        <is>
          <t>USD</t>
        </is>
      </c>
      <c r="D71" t="inlineStr">
        <is>
          <t>One-time</t>
        </is>
      </c>
    </row>
    <row r="72">
      <c r="A72" t="inlineStr"/>
    </row>
    <row r="73">
      <c r="A73" s="2" t="inlineStr">
        <is>
          <t>MARKETING</t>
        </is>
      </c>
    </row>
    <row r="74">
      <c r="A74" s="3" t="inlineStr">
        <is>
          <t>Marketing Launch Month</t>
        </is>
      </c>
      <c r="B74" s="7" t="n">
        <v>2</v>
      </c>
      <c r="C74" s="5" t="inlineStr">
        <is>
          <t>0-based</t>
        </is>
      </c>
      <c r="D74" t="inlineStr">
        <is>
          <t>Mid-June 2026 app launch</t>
        </is>
      </c>
    </row>
    <row r="75">
      <c r="A75" s="3" t="inlineStr">
        <is>
          <t>Blended CAC Target</t>
        </is>
      </c>
      <c r="B75" s="4" t="n">
        <v>2.5</v>
      </c>
      <c r="C75" s="5" t="inlineStr">
        <is>
          <t>USD</t>
        </is>
      </c>
      <c r="D75" t="inlineStr">
        <is>
          <t>Organic/community-driven</t>
        </is>
      </c>
    </row>
    <row r="76">
      <c r="A76" t="inlineStr"/>
    </row>
    <row r="77">
      <c r="A77" t="inlineStr">
        <is>
          <t>CONTENT / INFLUENCER MARKETING (Monthly Lump Sums)</t>
        </is>
      </c>
    </row>
    <row r="78">
      <c r="A78" s="3" t="inlineStr">
        <is>
          <t xml:space="preserve">  Influencer Spend — Apr-26</t>
        </is>
      </c>
      <c r="B78" s="7" t="n">
        <v>0</v>
      </c>
      <c r="C78" s="5" t="inlineStr">
        <is>
          <t>USD</t>
        </is>
      </c>
      <c r="D78" t="inlineStr">
        <is>
          <t>Lump-sum influencer payment</t>
        </is>
      </c>
    </row>
    <row r="79">
      <c r="A79" s="3" t="inlineStr">
        <is>
          <t xml:space="preserve">  Influencer Spend — May-26</t>
        </is>
      </c>
      <c r="B79" s="7" t="n">
        <v>0</v>
      </c>
      <c r="C79" s="5" t="inlineStr">
        <is>
          <t>USD</t>
        </is>
      </c>
      <c r="D79" t="inlineStr">
        <is>
          <t>Lump-sum influencer payment</t>
        </is>
      </c>
    </row>
    <row r="80">
      <c r="A80" s="3" t="inlineStr">
        <is>
          <t xml:space="preserve">  Influencer Spend — Jun-26</t>
        </is>
      </c>
      <c r="B80" s="7" t="n">
        <v>500</v>
      </c>
      <c r="C80" s="5" t="inlineStr">
        <is>
          <t>USD</t>
        </is>
      </c>
      <c r="D80" t="inlineStr">
        <is>
          <t>Lump-sum influencer payment</t>
        </is>
      </c>
    </row>
    <row r="81">
      <c r="A81" s="3" t="inlineStr">
        <is>
          <t xml:space="preserve">  Influencer Spend — Jul-26</t>
        </is>
      </c>
      <c r="B81" s="7" t="n">
        <v>0</v>
      </c>
      <c r="C81" s="5" t="inlineStr">
        <is>
          <t>USD</t>
        </is>
      </c>
      <c r="D81" t="inlineStr">
        <is>
          <t>Lump-sum influencer payment</t>
        </is>
      </c>
    </row>
    <row r="82">
      <c r="A82" s="3" t="inlineStr">
        <is>
          <t xml:space="preserve">  Influencer Spend — Aug-26</t>
        </is>
      </c>
      <c r="B82" s="7" t="n">
        <v>0</v>
      </c>
      <c r="C82" s="5" t="inlineStr">
        <is>
          <t>USD</t>
        </is>
      </c>
      <c r="D82" t="inlineStr">
        <is>
          <t>Lump-sum influencer payment</t>
        </is>
      </c>
    </row>
    <row r="83">
      <c r="A83" s="3" t="inlineStr">
        <is>
          <t xml:space="preserve">  Influencer Spend — Sep-26</t>
        </is>
      </c>
      <c r="B83" s="7" t="n">
        <v>1500</v>
      </c>
      <c r="C83" s="5" t="inlineStr">
        <is>
          <t>USD</t>
        </is>
      </c>
      <c r="D83" t="inlineStr">
        <is>
          <t>Lump-sum influencer payment</t>
        </is>
      </c>
    </row>
    <row r="84">
      <c r="A84" s="3" t="inlineStr">
        <is>
          <t xml:space="preserve">  Influencer Spend — Oct-26</t>
        </is>
      </c>
      <c r="B84" s="7" t="n">
        <v>0</v>
      </c>
      <c r="C84" s="5" t="inlineStr">
        <is>
          <t>USD</t>
        </is>
      </c>
      <c r="D84" t="inlineStr">
        <is>
          <t>Lump-sum influencer payment</t>
        </is>
      </c>
    </row>
    <row r="85">
      <c r="A85" s="3" t="inlineStr">
        <is>
          <t xml:space="preserve">  Influencer Spend — Nov-26</t>
        </is>
      </c>
      <c r="B85" s="7" t="n">
        <v>0</v>
      </c>
      <c r="C85" s="5" t="inlineStr">
        <is>
          <t>USD</t>
        </is>
      </c>
      <c r="D85" t="inlineStr">
        <is>
          <t>Lump-sum influencer payment</t>
        </is>
      </c>
    </row>
    <row r="86">
      <c r="A86" s="3" t="inlineStr">
        <is>
          <t xml:space="preserve">  Influencer Spend — Dec-26</t>
        </is>
      </c>
      <c r="B86" s="7" t="n">
        <v>0</v>
      </c>
      <c r="C86" s="5" t="inlineStr">
        <is>
          <t>USD</t>
        </is>
      </c>
      <c r="D86" t="inlineStr">
        <is>
          <t>Lump-sum influencer payment</t>
        </is>
      </c>
    </row>
    <row r="87">
      <c r="A87" s="3" t="inlineStr">
        <is>
          <t xml:space="preserve">  Influencer Spend — Jan-27</t>
        </is>
      </c>
      <c r="B87" s="7" t="n">
        <v>0</v>
      </c>
      <c r="C87" s="5" t="inlineStr">
        <is>
          <t>USD</t>
        </is>
      </c>
      <c r="D87" t="inlineStr">
        <is>
          <t>Lump-sum influencer payment</t>
        </is>
      </c>
    </row>
    <row r="88">
      <c r="A88" s="3" t="inlineStr">
        <is>
          <t xml:space="preserve">  Influencer Spend — Feb-27</t>
        </is>
      </c>
      <c r="B88" s="7" t="n">
        <v>0</v>
      </c>
      <c r="C88" s="5" t="inlineStr">
        <is>
          <t>USD</t>
        </is>
      </c>
      <c r="D88" t="inlineStr">
        <is>
          <t>Lump-sum influencer payment</t>
        </is>
      </c>
    </row>
    <row r="89">
      <c r="A89" s="3" t="inlineStr">
        <is>
          <t xml:space="preserve">  Influencer Spend — Mar-27</t>
        </is>
      </c>
      <c r="B89" s="7" t="n">
        <v>0</v>
      </c>
      <c r="C89" s="5" t="inlineStr">
        <is>
          <t>USD</t>
        </is>
      </c>
      <c r="D89" t="inlineStr">
        <is>
          <t>Lump-sum influencer payment</t>
        </is>
      </c>
    </row>
    <row r="90">
      <c r="A90" s="3" t="inlineStr">
        <is>
          <t xml:space="preserve">  Influencer Spend — Apr-27</t>
        </is>
      </c>
      <c r="B90" s="7" t="n">
        <v>0</v>
      </c>
      <c r="C90" s="5" t="inlineStr">
        <is>
          <t>USD</t>
        </is>
      </c>
      <c r="D90" t="inlineStr">
        <is>
          <t>Lump-sum influencer payment</t>
        </is>
      </c>
    </row>
    <row r="91">
      <c r="A91" s="3" t="inlineStr">
        <is>
          <t xml:space="preserve">  Influencer Spend — May-27</t>
        </is>
      </c>
      <c r="B91" s="7" t="n">
        <v>0</v>
      </c>
      <c r="C91" s="5" t="inlineStr">
        <is>
          <t>USD</t>
        </is>
      </c>
      <c r="D91" t="inlineStr">
        <is>
          <t>Lump-sum influencer payment</t>
        </is>
      </c>
    </row>
    <row r="92">
      <c r="A92" s="3" t="inlineStr">
        <is>
          <t xml:space="preserve">  Influencer Spend — Jun-27</t>
        </is>
      </c>
      <c r="B92" s="7" t="n">
        <v>2000</v>
      </c>
      <c r="C92" s="5" t="inlineStr">
        <is>
          <t>USD</t>
        </is>
      </c>
      <c r="D92" t="inlineStr">
        <is>
          <t>Lump-sum influencer payment</t>
        </is>
      </c>
    </row>
    <row r="93">
      <c r="A93" s="3" t="inlineStr">
        <is>
          <t xml:space="preserve">  Influencer Spend — Jul-27</t>
        </is>
      </c>
      <c r="B93" s="7" t="n">
        <v>0</v>
      </c>
      <c r="C93" s="5" t="inlineStr">
        <is>
          <t>USD</t>
        </is>
      </c>
      <c r="D93" t="inlineStr">
        <is>
          <t>Lump-sum influencer payment</t>
        </is>
      </c>
    </row>
    <row r="94">
      <c r="A94" s="3" t="inlineStr">
        <is>
          <t xml:space="preserve">  Influencer Spend — Aug-27</t>
        </is>
      </c>
      <c r="B94" s="7" t="n">
        <v>2500</v>
      </c>
      <c r="C94" s="5" t="inlineStr">
        <is>
          <t>USD</t>
        </is>
      </c>
      <c r="D94" t="inlineStr">
        <is>
          <t>Lump-sum influencer payment</t>
        </is>
      </c>
    </row>
    <row r="95">
      <c r="A95" s="3" t="inlineStr">
        <is>
          <t xml:space="preserve">  Influencer Spend — Sep-27</t>
        </is>
      </c>
      <c r="B95" s="7" t="n">
        <v>3000</v>
      </c>
      <c r="C95" s="5" t="inlineStr">
        <is>
          <t>USD</t>
        </is>
      </c>
      <c r="D95" t="inlineStr">
        <is>
          <t>Lump-sum influencer payment</t>
        </is>
      </c>
    </row>
    <row r="96">
      <c r="A96" s="3" t="inlineStr">
        <is>
          <t xml:space="preserve">  Influencer Spend — Oct-27</t>
        </is>
      </c>
      <c r="B96" s="7" t="n">
        <v>3000</v>
      </c>
      <c r="C96" s="5" t="inlineStr">
        <is>
          <t>USD</t>
        </is>
      </c>
      <c r="D96" t="inlineStr">
        <is>
          <t>Lump-sum influencer payment</t>
        </is>
      </c>
    </row>
    <row r="97">
      <c r="A97" s="3" t="inlineStr">
        <is>
          <t xml:space="preserve">  Influencer Spend — Nov-27</t>
        </is>
      </c>
      <c r="B97" s="7" t="n">
        <v>0</v>
      </c>
      <c r="C97" s="5" t="inlineStr">
        <is>
          <t>USD</t>
        </is>
      </c>
      <c r="D97" t="inlineStr">
        <is>
          <t>Lump-sum influencer payment</t>
        </is>
      </c>
    </row>
    <row r="98">
      <c r="A98" s="3" t="inlineStr">
        <is>
          <t xml:space="preserve">  Influencer Spend — Dec-27</t>
        </is>
      </c>
      <c r="B98" s="7" t="n">
        <v>2000</v>
      </c>
      <c r="C98" s="5" t="inlineStr">
        <is>
          <t>USD</t>
        </is>
      </c>
      <c r="D98" t="inlineStr">
        <is>
          <t>Lump-sum influencer payment</t>
        </is>
      </c>
    </row>
    <row r="99">
      <c r="A99" s="3" t="inlineStr">
        <is>
          <t xml:space="preserve">  Influencer Spend — Jan-28</t>
        </is>
      </c>
      <c r="B99" s="7" t="n">
        <v>0</v>
      </c>
      <c r="C99" s="5" t="inlineStr">
        <is>
          <t>USD</t>
        </is>
      </c>
      <c r="D99" t="inlineStr">
        <is>
          <t>Lump-sum influencer payment</t>
        </is>
      </c>
    </row>
    <row r="100">
      <c r="A100" s="3" t="inlineStr">
        <is>
          <t xml:space="preserve">  Influencer Spend — Feb-28</t>
        </is>
      </c>
      <c r="B100" s="7" t="n">
        <v>0</v>
      </c>
      <c r="C100" s="5" t="inlineStr">
        <is>
          <t>USD</t>
        </is>
      </c>
      <c r="D100" t="inlineStr">
        <is>
          <t>Lump-sum influencer payment</t>
        </is>
      </c>
    </row>
    <row r="101">
      <c r="A101" s="3" t="inlineStr">
        <is>
          <t xml:space="preserve">  Influencer Spend — Mar-28</t>
        </is>
      </c>
      <c r="B101" s="7" t="n">
        <v>0</v>
      </c>
      <c r="C101" s="5" t="inlineStr">
        <is>
          <t>USD</t>
        </is>
      </c>
      <c r="D101" t="inlineStr">
        <is>
          <t>Lump-sum influencer payment</t>
        </is>
      </c>
    </row>
    <row r="102">
      <c r="A102" t="inlineStr"/>
    </row>
    <row r="103">
      <c r="A103" s="2" t="inlineStr">
        <is>
          <t>TEAM</t>
        </is>
      </c>
    </row>
    <row r="104">
      <c r="A104" s="3" t="inlineStr">
        <is>
          <t>Months 1-6 (Solo Founder)</t>
        </is>
      </c>
      <c r="B104" s="7" t="n">
        <v>0</v>
      </c>
      <c r="C104" s="5" t="inlineStr">
        <is>
          <t>USD/mo</t>
        </is>
      </c>
      <c r="D104" t="inlineStr">
        <is>
          <t>Bootstrapped</t>
        </is>
      </c>
    </row>
    <row r="105">
      <c r="A105" s="3" t="inlineStr">
        <is>
          <t>Months 7-12 (1 PT Contractor)</t>
        </is>
      </c>
      <c r="B105" s="7" t="n">
        <v>1500</v>
      </c>
      <c r="C105" s="5" t="inlineStr">
        <is>
          <t>USD/mo</t>
        </is>
      </c>
      <c r="D105" t="inlineStr"/>
    </row>
    <row r="106">
      <c r="A106" s="3" t="inlineStr">
        <is>
          <t>Months 13-18 (1-2 Contractors)</t>
        </is>
      </c>
      <c r="B106" s="7" t="n">
        <v>3000</v>
      </c>
      <c r="C106" s="5" t="inlineStr">
        <is>
          <t>USD/mo</t>
        </is>
      </c>
      <c r="D106" t="inlineStr"/>
    </row>
    <row r="107">
      <c r="A107" s="3" t="inlineStr">
        <is>
          <t>Months 19-24 (Small Team)</t>
        </is>
      </c>
      <c r="B107" s="7" t="n">
        <v>6000</v>
      </c>
      <c r="C107" s="5" t="inlineStr">
        <is>
          <t>USD/mo</t>
        </is>
      </c>
      <c r="D107" t="inlineStr"/>
    </row>
    <row r="108">
      <c r="A108" t="inlineStr"/>
    </row>
    <row r="109">
      <c r="A109" s="2" t="inlineStr">
        <is>
          <t>LEGAL / ACCOUNTING</t>
        </is>
      </c>
    </row>
    <row r="110">
      <c r="A110" s="3" t="inlineStr">
        <is>
          <t>Year 1 (Basic)</t>
        </is>
      </c>
      <c r="B110" s="7" t="n">
        <v>100</v>
      </c>
      <c r="C110" s="5" t="inlineStr">
        <is>
          <t>USD/mo</t>
        </is>
      </c>
      <c r="D110" t="inlineStr">
        <is>
          <t>Bookkeeping, tax prep only</t>
        </is>
      </c>
    </row>
    <row r="111">
      <c r="A111" s="3" t="inlineStr">
        <is>
          <t>Year 2 (Basic)</t>
        </is>
      </c>
      <c r="B111" s="7" t="n">
        <v>300</v>
      </c>
      <c r="C111" s="5" t="inlineStr">
        <is>
          <t>USD/mo</t>
        </is>
      </c>
      <c r="D111" t="inlineStr">
        <is>
          <t>Bookkeeping + general counsel</t>
        </is>
      </c>
    </row>
    <row r="112">
      <c r="A112" t="inlineStr"/>
    </row>
    <row r="113">
      <c r="A113" s="2" t="inlineStr">
        <is>
          <t>DFS COMPLIANCE — CANADA (NO LICENSE REQUIRED)</t>
        </is>
      </c>
    </row>
    <row r="114">
      <c r="A114" s="3" t="inlineStr">
        <is>
          <t>Compliance Threshold</t>
        </is>
      </c>
      <c r="B114" s="7" t="n">
        <v>100000</v>
      </c>
      <c r="C114" s="5" t="inlineStr">
        <is>
          <t>users</t>
        </is>
      </c>
      <c r="D114" t="inlineStr">
        <is>
          <t>Prudent compliance at scale</t>
        </is>
      </c>
    </row>
    <row r="115">
      <c r="A115" s="3" t="inlineStr">
        <is>
          <t>Legal Opinion / Skill-Game Defense</t>
        </is>
      </c>
      <c r="B115" s="7" t="n">
        <v>500</v>
      </c>
      <c r="C115" s="5" t="inlineStr">
        <is>
          <t>USD/mo</t>
        </is>
      </c>
      <c r="D115" t="inlineStr">
        <is>
          <t>s.206(1)(d) opinion amortized; NO license needed</t>
        </is>
      </c>
    </row>
    <row r="116">
      <c r="A116" s="3" t="inlineStr">
        <is>
          <t>FINTRAC AML Compliance</t>
        </is>
      </c>
      <c r="B116" s="7" t="n">
        <v>1000</v>
      </c>
      <c r="C116" s="5" t="inlineStr">
        <is>
          <t>USD/mo</t>
        </is>
      </c>
      <c r="D116" t="inlineStr">
        <is>
          <t>Prize pools &gt;$10K trigger reporting</t>
        </is>
      </c>
    </row>
    <row r="117">
      <c r="A117" s="3" t="inlineStr">
        <is>
          <t>Insurance (E&amp;O + Cyber)</t>
        </is>
      </c>
      <c r="B117" s="7" t="n">
        <v>500</v>
      </c>
      <c r="C117" s="5" t="inlineStr">
        <is>
          <t>USD/mo</t>
        </is>
      </c>
      <c r="D117" t="inlineStr">
        <is>
          <t>Standard biz insurance</t>
        </is>
      </c>
    </row>
    <row r="118">
      <c r="A118" s="3" t="inlineStr">
        <is>
          <t>Player Fund Segregation / Audit</t>
        </is>
      </c>
      <c r="B118" s="7" t="n">
        <v>500</v>
      </c>
      <c r="C118" s="5" t="inlineStr">
        <is>
          <t>USD/mo</t>
        </is>
      </c>
      <c r="D118" t="inlineStr">
        <is>
          <t>Trust account — best practice, not required</t>
        </is>
      </c>
    </row>
    <row r="119">
      <c r="A119" t="inlineStr"/>
    </row>
    <row r="120">
      <c r="A120" t="inlineStr">
        <is>
          <t>USER GROWTH / ACQUISITION (Monthly New Users)</t>
        </is>
      </c>
    </row>
    <row r="121">
      <c r="A121" s="3" t="inlineStr">
        <is>
          <t xml:space="preserve">  New Users — Apr-26</t>
        </is>
      </c>
      <c r="B121" s="7" t="n">
        <v>100</v>
      </c>
      <c r="C121" s="5" t="inlineStr">
        <is>
          <t>users</t>
        </is>
      </c>
      <c r="D121" t="inlineStr">
        <is>
          <t>Monthly new user target</t>
        </is>
      </c>
    </row>
    <row r="122">
      <c r="A122" s="3" t="inlineStr">
        <is>
          <t xml:space="preserve">  New Users — May-26</t>
        </is>
      </c>
      <c r="B122" s="7" t="n">
        <v>100</v>
      </c>
      <c r="C122" s="5" t="inlineStr">
        <is>
          <t>users</t>
        </is>
      </c>
      <c r="D122" t="inlineStr">
        <is>
          <t>Monthly new user target</t>
        </is>
      </c>
    </row>
    <row r="123">
      <c r="A123" s="3" t="inlineStr">
        <is>
          <t xml:space="preserve">  New Users — Jun-26</t>
        </is>
      </c>
      <c r="B123" s="7" t="n">
        <v>1500</v>
      </c>
      <c r="C123" s="5" t="inlineStr">
        <is>
          <t>users</t>
        </is>
      </c>
      <c r="D123" t="inlineStr">
        <is>
          <t>Monthly new user target</t>
        </is>
      </c>
    </row>
    <row r="124">
      <c r="A124" s="3" t="inlineStr">
        <is>
          <t xml:space="preserve">  New Users — Jul-26</t>
        </is>
      </c>
      <c r="B124" s="7" t="n">
        <v>3000</v>
      </c>
      <c r="C124" s="5" t="inlineStr">
        <is>
          <t>users</t>
        </is>
      </c>
      <c r="D124" t="inlineStr">
        <is>
          <t>Monthly new user target</t>
        </is>
      </c>
    </row>
    <row r="125">
      <c r="A125" s="3" t="inlineStr">
        <is>
          <t xml:space="preserve">  New Users — Aug-26</t>
        </is>
      </c>
      <c r="B125" s="7" t="n">
        <v>6000</v>
      </c>
      <c r="C125" s="5" t="inlineStr">
        <is>
          <t>users</t>
        </is>
      </c>
      <c r="D125" t="inlineStr">
        <is>
          <t>Monthly new user target</t>
        </is>
      </c>
    </row>
    <row r="126">
      <c r="A126" s="3" t="inlineStr">
        <is>
          <t xml:space="preserve">  New Users — Sep-26</t>
        </is>
      </c>
      <c r="B126" s="7" t="n">
        <v>10000</v>
      </c>
      <c r="C126" s="5" t="inlineStr">
        <is>
          <t>users</t>
        </is>
      </c>
      <c r="D126" t="inlineStr">
        <is>
          <t>Monthly new user target</t>
        </is>
      </c>
    </row>
    <row r="127">
      <c r="A127" s="3" t="inlineStr">
        <is>
          <t xml:space="preserve">  New Users — Oct-26</t>
        </is>
      </c>
      <c r="B127" s="7" t="n">
        <v>8000</v>
      </c>
      <c r="C127" s="5" t="inlineStr">
        <is>
          <t>users</t>
        </is>
      </c>
      <c r="D127" t="inlineStr">
        <is>
          <t>Monthly new user target</t>
        </is>
      </c>
    </row>
    <row r="128">
      <c r="A128" s="3" t="inlineStr">
        <is>
          <t xml:space="preserve">  New Users — Nov-26</t>
        </is>
      </c>
      <c r="B128" s="7" t="n">
        <v>5000</v>
      </c>
      <c r="C128" s="5" t="inlineStr">
        <is>
          <t>users</t>
        </is>
      </c>
      <c r="D128" t="inlineStr">
        <is>
          <t>Monthly new user target</t>
        </is>
      </c>
    </row>
    <row r="129">
      <c r="A129" s="3" t="inlineStr">
        <is>
          <t xml:space="preserve">  New Users — Dec-26</t>
        </is>
      </c>
      <c r="B129" s="7" t="n">
        <v>3000</v>
      </c>
      <c r="C129" s="5" t="inlineStr">
        <is>
          <t>users</t>
        </is>
      </c>
      <c r="D129" t="inlineStr">
        <is>
          <t>Monthly new user target</t>
        </is>
      </c>
    </row>
    <row r="130">
      <c r="A130" s="3" t="inlineStr">
        <is>
          <t xml:space="preserve">  New Users — Jan-27</t>
        </is>
      </c>
      <c r="B130" s="7" t="n">
        <v>2500</v>
      </c>
      <c r="C130" s="5" t="inlineStr">
        <is>
          <t>users</t>
        </is>
      </c>
      <c r="D130" t="inlineStr">
        <is>
          <t>Monthly new user target</t>
        </is>
      </c>
    </row>
    <row r="131">
      <c r="A131" s="3" t="inlineStr">
        <is>
          <t xml:space="preserve">  New Users — Feb-27</t>
        </is>
      </c>
      <c r="B131" s="7" t="n">
        <v>2000</v>
      </c>
      <c r="C131" s="5" t="inlineStr">
        <is>
          <t>users</t>
        </is>
      </c>
      <c r="D131" t="inlineStr">
        <is>
          <t>Monthly new user target</t>
        </is>
      </c>
    </row>
    <row r="132">
      <c r="A132" s="3" t="inlineStr">
        <is>
          <t xml:space="preserve">  New Users — Mar-27</t>
        </is>
      </c>
      <c r="B132" s="7" t="n">
        <v>1500</v>
      </c>
      <c r="C132" s="5" t="inlineStr">
        <is>
          <t>users</t>
        </is>
      </c>
      <c r="D132" t="inlineStr">
        <is>
          <t>Monthly new user target</t>
        </is>
      </c>
    </row>
    <row r="133">
      <c r="A133" s="3" t="inlineStr">
        <is>
          <t xml:space="preserve">  New Users — Apr-27</t>
        </is>
      </c>
      <c r="B133" s="7" t="n">
        <v>1500</v>
      </c>
      <c r="C133" s="5" t="inlineStr">
        <is>
          <t>users</t>
        </is>
      </c>
      <c r="D133" t="inlineStr">
        <is>
          <t>Monthly new user target</t>
        </is>
      </c>
    </row>
    <row r="134">
      <c r="A134" s="3" t="inlineStr">
        <is>
          <t xml:space="preserve">  New Users — May-27</t>
        </is>
      </c>
      <c r="B134" s="7" t="n">
        <v>2000</v>
      </c>
      <c r="C134" s="5" t="inlineStr">
        <is>
          <t>users</t>
        </is>
      </c>
      <c r="D134" t="inlineStr">
        <is>
          <t>Monthly new user target</t>
        </is>
      </c>
    </row>
    <row r="135">
      <c r="A135" s="3" t="inlineStr">
        <is>
          <t xml:space="preserve">  New Users — Jun-27</t>
        </is>
      </c>
      <c r="B135" s="7" t="n">
        <v>3000</v>
      </c>
      <c r="C135" s="5" t="inlineStr">
        <is>
          <t>users</t>
        </is>
      </c>
      <c r="D135" t="inlineStr">
        <is>
          <t>Monthly new user target</t>
        </is>
      </c>
    </row>
    <row r="136">
      <c r="A136" s="3" t="inlineStr">
        <is>
          <t xml:space="preserve">  New Users — Jul-27</t>
        </is>
      </c>
      <c r="B136" s="7" t="n">
        <v>5000</v>
      </c>
      <c r="C136" s="5" t="inlineStr">
        <is>
          <t>users</t>
        </is>
      </c>
      <c r="D136" t="inlineStr">
        <is>
          <t>Monthly new user target</t>
        </is>
      </c>
    </row>
    <row r="137">
      <c r="A137" s="3" t="inlineStr">
        <is>
          <t xml:space="preserve">  New Users — Aug-27</t>
        </is>
      </c>
      <c r="B137" s="7" t="n">
        <v>8000</v>
      </c>
      <c r="C137" s="5" t="inlineStr">
        <is>
          <t>users</t>
        </is>
      </c>
      <c r="D137" t="inlineStr">
        <is>
          <t>Monthly new user target</t>
        </is>
      </c>
    </row>
    <row r="138">
      <c r="A138" s="3" t="inlineStr">
        <is>
          <t xml:space="preserve">  New Users — Sep-27</t>
        </is>
      </c>
      <c r="B138" s="7" t="n">
        <v>12000</v>
      </c>
      <c r="C138" s="5" t="inlineStr">
        <is>
          <t>users</t>
        </is>
      </c>
      <c r="D138" t="inlineStr">
        <is>
          <t>Monthly new user target</t>
        </is>
      </c>
    </row>
    <row r="139">
      <c r="A139" s="3" t="inlineStr">
        <is>
          <t xml:space="preserve">  New Users — Oct-27</t>
        </is>
      </c>
      <c r="B139" s="7" t="n">
        <v>17000</v>
      </c>
      <c r="C139" s="5" t="inlineStr">
        <is>
          <t>users</t>
        </is>
      </c>
      <c r="D139" t="inlineStr">
        <is>
          <t>Monthly new user target</t>
        </is>
      </c>
    </row>
    <row r="140">
      <c r="A140" s="3" t="inlineStr">
        <is>
          <t xml:space="preserve">  New Users — Nov-27</t>
        </is>
      </c>
      <c r="B140" s="7" t="n">
        <v>20000</v>
      </c>
      <c r="C140" s="5" t="inlineStr">
        <is>
          <t>users</t>
        </is>
      </c>
      <c r="D140" t="inlineStr">
        <is>
          <t>Monthly new user target</t>
        </is>
      </c>
    </row>
    <row r="141">
      <c r="A141" s="3" t="inlineStr">
        <is>
          <t xml:space="preserve">  New Users — Dec-27</t>
        </is>
      </c>
      <c r="B141" s="7" t="n">
        <v>20000</v>
      </c>
      <c r="C141" s="5" t="inlineStr">
        <is>
          <t>users</t>
        </is>
      </c>
      <c r="D141" t="inlineStr">
        <is>
          <t>Monthly new user target</t>
        </is>
      </c>
    </row>
    <row r="142">
      <c r="A142" s="3" t="inlineStr">
        <is>
          <t xml:space="preserve">  New Users — Jan-28</t>
        </is>
      </c>
      <c r="B142" s="7" t="n">
        <v>18000</v>
      </c>
      <c r="C142" s="5" t="inlineStr">
        <is>
          <t>users</t>
        </is>
      </c>
      <c r="D142" t="inlineStr">
        <is>
          <t>Monthly new user target</t>
        </is>
      </c>
    </row>
    <row r="143">
      <c r="A143" s="3" t="inlineStr">
        <is>
          <t xml:space="preserve">  New Users — Feb-28</t>
        </is>
      </c>
      <c r="B143" s="7" t="n">
        <v>16000</v>
      </c>
      <c r="C143" s="5" t="inlineStr">
        <is>
          <t>users</t>
        </is>
      </c>
      <c r="D143" t="inlineStr">
        <is>
          <t>Monthly new user target</t>
        </is>
      </c>
    </row>
    <row r="144">
      <c r="A144" s="3" t="inlineStr">
        <is>
          <t xml:space="preserve">  New Users — Mar-28</t>
        </is>
      </c>
      <c r="B144" s="7" t="n">
        <v>13000</v>
      </c>
      <c r="C144" s="5" t="inlineStr">
        <is>
          <t>users</t>
        </is>
      </c>
      <c r="D144" t="inlineStr">
        <is>
          <t>Monthly new user target</t>
        </is>
      </c>
    </row>
    <row r="145">
      <c r="A145" t="inlineStr"/>
    </row>
    <row r="146">
      <c r="A146" s="2" t="inlineStr">
        <is>
          <t>CASH</t>
        </is>
      </c>
    </row>
    <row r="147">
      <c r="A147" s="3" t="inlineStr">
        <is>
          <t>Starting Cash</t>
        </is>
      </c>
      <c r="B147" s="7" t="n">
        <v>1000</v>
      </c>
      <c r="C147" s="5" t="inlineStr">
        <is>
          <t>USD</t>
        </is>
      </c>
      <c r="D147" t="inlineStr"/>
    </row>
    <row r="149">
      <c r="A149" t="inlineStr">
        <is>
          <t>MARKET REFERENCE (informational)</t>
        </is>
      </c>
    </row>
    <row r="150">
      <c r="A150" s="3" t="inlineStr">
        <is>
          <t>TAM — Fantasy Sports (2025)</t>
        </is>
      </c>
      <c r="B150" s="5" t="inlineStr">
        <is>
          <t>$32B+</t>
        </is>
      </c>
      <c r="C150" s="5" t="inlineStr">
        <is>
          <t>USD</t>
        </is>
      </c>
      <c r="D150" t="inlineStr">
        <is>
          <t>Mordor Intelligence</t>
        </is>
      </c>
    </row>
    <row r="151">
      <c r="A151" s="3" t="inlineStr">
        <is>
          <t>SAM — Fantasy Hockey Global</t>
        </is>
      </c>
      <c r="B151" s="5" t="inlineStr">
        <is>
          <t>$1-2B</t>
        </is>
      </c>
      <c r="C151" s="5" t="inlineStr">
        <is>
          <t>USD</t>
        </is>
      </c>
      <c r="D151" t="inlineStr">
        <is>
          <t>Industry estimates</t>
        </is>
      </c>
    </row>
    <row r="152">
      <c r="A152" s="3" t="inlineStr">
        <is>
          <t>Active Fantasy Hockey Players (NA)</t>
        </is>
      </c>
      <c r="B152" s="5" t="inlineStr">
        <is>
          <t>5,800,000</t>
        </is>
      </c>
      <c r="C152" s="5" t="inlineStr">
        <is>
          <t>Users</t>
        </is>
      </c>
      <c r="D152" t="inlineStr">
        <is>
          <t>FSGA industry data</t>
        </is>
      </c>
    </row>
    <row r="153">
      <c r="A153" s="3" t="inlineStr">
        <is>
          <t>NHL Fantasy CAGR</t>
        </is>
      </c>
      <c r="B153" s="5" t="inlineStr">
        <is>
          <t>14.6%</t>
        </is>
      </c>
      <c r="C153" s="5" t="inlineStr">
        <is>
          <t>%</t>
        </is>
      </c>
      <c r="D153" t="inlineStr">
        <is>
          <t>Mordor Intelligence</t>
        </is>
      </c>
    </row>
    <row r="154">
      <c r="A154" t="inlineStr"/>
    </row>
    <row r="155">
      <c r="A155" s="2" t="inlineStr">
        <is>
          <t>BENCHMARKS</t>
        </is>
      </c>
    </row>
    <row r="156">
      <c r="A156" s="3" t="inlineStr">
        <is>
          <t>Mobile Freemium Median</t>
        </is>
      </c>
      <c r="B156" s="5" t="inlineStr">
        <is>
          <t>2.18%</t>
        </is>
      </c>
      <c r="C156" s="5" t="inlineStr">
        <is>
          <t>%</t>
        </is>
      </c>
      <c r="D156" t="inlineStr">
        <is>
          <t>RevenueCat 2025</t>
        </is>
      </c>
    </row>
    <row r="157">
      <c r="A157" s="3" t="inlineStr">
        <is>
          <t>Sleeper Annual Retention</t>
        </is>
      </c>
      <c r="B157" s="5" t="inlineStr">
        <is>
          <t>75%</t>
        </is>
      </c>
      <c r="C157" s="5" t="inlineStr">
        <is>
          <t>%</t>
        </is>
      </c>
      <c r="D157" t="inlineStr">
        <is>
          <t>Sleeper Series C PR</t>
        </is>
      </c>
    </row>
    <row r="158">
      <c r="A158" s="3" t="inlineStr">
        <is>
          <t>DraftKings/FanDuel CAC</t>
        </is>
      </c>
      <c r="B158" s="5" t="inlineStr">
        <is>
          <t>$200-350</t>
        </is>
      </c>
      <c r="C158" s="5" t="inlineStr">
        <is>
          <t>USD</t>
        </is>
      </c>
      <c r="D158" t="inlineStr">
        <is>
          <t>BusinessOfApps</t>
        </is>
      </c>
    </row>
    <row r="159">
      <c r="A159" s="3" t="inlineStr">
        <is>
          <t>NA Mobile CPI</t>
        </is>
      </c>
      <c r="B159" s="5" t="inlineStr">
        <is>
          <t>$5.28</t>
        </is>
      </c>
      <c r="C159" s="5" t="inlineStr">
        <is>
          <t>USD</t>
        </is>
      </c>
      <c r="D159" t="inlineStr">
        <is>
          <t>BusinessOfApps</t>
        </is>
      </c>
    </row>
    <row r="161">
      <c r="A161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Assumptions!$B$121</f>
        <v/>
      </c>
      <c r="C3" s="15">
        <f>Assumptions!$B$122</f>
        <v/>
      </c>
      <c r="D3" s="15">
        <f>Assumptions!$B$123</f>
        <v/>
      </c>
      <c r="E3" s="15">
        <f>Assumptions!$B$124</f>
        <v/>
      </c>
      <c r="F3" s="15">
        <f>Assumptions!$B$125</f>
        <v/>
      </c>
      <c r="G3" s="15">
        <f>Assumptions!$B$126</f>
        <v/>
      </c>
      <c r="H3" s="15">
        <f>Assumptions!$B$127</f>
        <v/>
      </c>
      <c r="I3" s="15">
        <f>Assumptions!$B$128</f>
        <v/>
      </c>
      <c r="J3" s="15">
        <f>Assumptions!$B$129</f>
        <v/>
      </c>
      <c r="K3" s="15">
        <f>Assumptions!$B$130</f>
        <v/>
      </c>
      <c r="L3" s="15">
        <f>Assumptions!$B$131</f>
        <v/>
      </c>
      <c r="M3" s="15">
        <f>Assumptions!$B$132</f>
        <v/>
      </c>
      <c r="N3" s="15">
        <f>Assumptions!$B$133</f>
        <v/>
      </c>
      <c r="O3" s="15">
        <f>Assumptions!$B$134</f>
        <v/>
      </c>
      <c r="P3" s="15">
        <f>Assumptions!$B$135</f>
        <v/>
      </c>
      <c r="Q3" s="15">
        <f>Assumptions!$B$136</f>
        <v/>
      </c>
      <c r="R3" s="15">
        <f>Assumptions!$B$137</f>
        <v/>
      </c>
      <c r="S3" s="15">
        <f>Assumptions!$B$138</f>
        <v/>
      </c>
      <c r="T3" s="15">
        <f>Assumptions!$B$139</f>
        <v/>
      </c>
      <c r="U3" s="15">
        <f>Assumptions!$B$140</f>
        <v/>
      </c>
      <c r="V3" s="15">
        <f>Assumptions!$B$141</f>
        <v/>
      </c>
      <c r="W3" s="15">
        <f>Assumptions!$B$142</f>
        <v/>
      </c>
      <c r="X3" s="15">
        <f>Assumptions!$B$143</f>
        <v/>
      </c>
      <c r="Y3" s="15">
        <f>Assumptions!$B$144</f>
        <v/>
      </c>
    </row>
    <row r="5">
      <c r="A5" s="3" t="inlineStr">
        <is>
          <t xml:space="preserve">  Eff. Conv Rate → Pro</t>
        </is>
      </c>
      <c r="B5" s="16">
        <f>IF(0&gt;=Assumptions!$B$10,IF(COLUMN()&lt;14,Assumptions!$B$11,Assumptions!$B$12)*IF(B2="IN-SEASON",Assumptions!$B$15,Assumptions!$B$16),0)</f>
        <v/>
      </c>
      <c r="C5" s="16">
        <f>IF(B20&gt;=Assumptions!$B$10,IF(COLUMN()&lt;14,Assumptions!$B$11,Assumptions!$B$12)*IF(C2="IN-SEASON",Assumptions!$B$15,Assumptions!$B$16),0)</f>
        <v/>
      </c>
      <c r="D5" s="16">
        <f>IF(C20&gt;=Assumptions!$B$10,IF(COLUMN()&lt;14,Assumptions!$B$11,Assumptions!$B$12)*IF(D2="IN-SEASON",Assumptions!$B$15,Assumptions!$B$16),0)</f>
        <v/>
      </c>
      <c r="E5" s="16">
        <f>IF(D20&gt;=Assumptions!$B$10,IF(COLUMN()&lt;14,Assumptions!$B$11,Assumptions!$B$12)*IF(E2="IN-SEASON",Assumptions!$B$15,Assumptions!$B$16),0)</f>
        <v/>
      </c>
      <c r="F5" s="16">
        <f>IF(E20&gt;=Assumptions!$B$10,IF(COLUMN()&lt;14,Assumptions!$B$11,Assumptions!$B$12)*IF(F2="IN-SEASON",Assumptions!$B$15,Assumptions!$B$16),0)</f>
        <v/>
      </c>
      <c r="G5" s="16">
        <f>IF(F20&gt;=Assumptions!$B$10,IF(COLUMN()&lt;14,Assumptions!$B$11,Assumptions!$B$12)*IF(G2="IN-SEASON",Assumptions!$B$15,Assumptions!$B$16),0)</f>
        <v/>
      </c>
      <c r="H5" s="16">
        <f>IF(G20&gt;=Assumptions!$B$10,IF(COLUMN()&lt;14,Assumptions!$B$11,Assumptions!$B$12)*IF(H2="IN-SEASON",Assumptions!$B$15,Assumptions!$B$16),0)</f>
        <v/>
      </c>
      <c r="I5" s="16">
        <f>IF(H20&gt;=Assumptions!$B$10,IF(COLUMN()&lt;14,Assumptions!$B$11,Assumptions!$B$12)*IF(I2="IN-SEASON",Assumptions!$B$15,Assumptions!$B$16),0)</f>
        <v/>
      </c>
      <c r="J5" s="16">
        <f>IF(I20&gt;=Assumptions!$B$10,IF(COLUMN()&lt;14,Assumptions!$B$11,Assumptions!$B$12)*IF(J2="IN-SEASON",Assumptions!$B$15,Assumptions!$B$16),0)</f>
        <v/>
      </c>
      <c r="K5" s="16">
        <f>IF(J20&gt;=Assumptions!$B$10,IF(COLUMN()&lt;14,Assumptions!$B$11,Assumptions!$B$12)*IF(K2="IN-SEASON",Assumptions!$B$15,Assumptions!$B$16),0)</f>
        <v/>
      </c>
      <c r="L5" s="16">
        <f>IF(K20&gt;=Assumptions!$B$10,IF(COLUMN()&lt;14,Assumptions!$B$11,Assumptions!$B$12)*IF(L2="IN-SEASON",Assumptions!$B$15,Assumptions!$B$16),0)</f>
        <v/>
      </c>
      <c r="M5" s="16">
        <f>IF(L20&gt;=Assumptions!$B$10,IF(COLUMN()&lt;14,Assumptions!$B$11,Assumptions!$B$12)*IF(M2="IN-SEASON",Assumptions!$B$15,Assumptions!$B$16),0)</f>
        <v/>
      </c>
      <c r="N5" s="16">
        <f>IF(M20&gt;=Assumptions!$B$10,IF(COLUMN()&lt;14,Assumptions!$B$11,Assumptions!$B$12)*IF(N2="IN-SEASON",Assumptions!$B$15,Assumptions!$B$16),0)</f>
        <v/>
      </c>
      <c r="O5" s="16">
        <f>IF(N20&gt;=Assumptions!$B$10,IF(COLUMN()&lt;14,Assumptions!$B$11,Assumptions!$B$12)*IF(O2="IN-SEASON",Assumptions!$B$15,Assumptions!$B$16),0)</f>
        <v/>
      </c>
      <c r="P5" s="16">
        <f>IF(O20&gt;=Assumptions!$B$10,IF(COLUMN()&lt;14,Assumptions!$B$11,Assumptions!$B$12)*IF(P2="IN-SEASON",Assumptions!$B$15,Assumptions!$B$16),0)</f>
        <v/>
      </c>
      <c r="Q5" s="16">
        <f>IF(P20&gt;=Assumptions!$B$10,IF(COLUMN()&lt;14,Assumptions!$B$11,Assumptions!$B$12)*IF(Q2="IN-SEASON",Assumptions!$B$15,Assumptions!$B$16),0)</f>
        <v/>
      </c>
      <c r="R5" s="16">
        <f>IF(Q20&gt;=Assumptions!$B$10,IF(COLUMN()&lt;14,Assumptions!$B$11,Assumptions!$B$12)*IF(R2="IN-SEASON",Assumptions!$B$15,Assumptions!$B$16),0)</f>
        <v/>
      </c>
      <c r="S5" s="16">
        <f>IF(R20&gt;=Assumptions!$B$10,IF(COLUMN()&lt;14,Assumptions!$B$11,Assumptions!$B$12)*IF(S2="IN-SEASON",Assumptions!$B$15,Assumptions!$B$16),0)</f>
        <v/>
      </c>
      <c r="T5" s="16">
        <f>IF(S20&gt;=Assumptions!$B$10,IF(COLUMN()&lt;14,Assumptions!$B$11,Assumptions!$B$12)*IF(T2="IN-SEASON",Assumptions!$B$15,Assumptions!$B$16),0)</f>
        <v/>
      </c>
      <c r="U5" s="16">
        <f>IF(T20&gt;=Assumptions!$B$10,IF(COLUMN()&lt;14,Assumptions!$B$11,Assumptions!$B$12)*IF(U2="IN-SEASON",Assumptions!$B$15,Assumptions!$B$16),0)</f>
        <v/>
      </c>
      <c r="V5" s="16">
        <f>IF(U20&gt;=Assumptions!$B$10,IF(COLUMN()&lt;14,Assumptions!$B$11,Assumptions!$B$12)*IF(V2="IN-SEASON",Assumptions!$B$15,Assumptions!$B$16),0)</f>
        <v/>
      </c>
      <c r="W5" s="16">
        <f>IF(V20&gt;=Assumptions!$B$10,IF(COLUMN()&lt;14,Assumptions!$B$11,Assumptions!$B$12)*IF(W2="IN-SEASON",Assumptions!$B$15,Assumptions!$B$16),0)</f>
        <v/>
      </c>
      <c r="X5" s="16">
        <f>IF(W20&gt;=Assumptions!$B$10,IF(COLUMN()&lt;14,Assumptions!$B$11,Assumptions!$B$12)*IF(X2="IN-SEASON",Assumptions!$B$15,Assumptions!$B$16),0)</f>
        <v/>
      </c>
      <c r="Y5" s="16">
        <f>IF(X20&gt;=Assumptions!$B$10,IF(COLUMN()&lt;14,Assumptions!$B$11,Assumptions!$B$12)*IF(Y2="IN-SEASON",Assumptions!$B$15,Assumptions!$B$16),0)</f>
        <v/>
      </c>
    </row>
    <row r="6">
      <c r="A6" s="3" t="inlineStr">
        <is>
          <t xml:space="preserve">  Eff. Conv Rate → Comm</t>
        </is>
      </c>
      <c r="B6" s="16">
        <f>IF(0&gt;=Assumptions!$B$10,IF(COLUMN()&lt;14,Assumptions!$B$13,Assumptions!$B$14)*IF(B2="IN-SEASON",Assumptions!$B$15,Assumptions!$B$16),0)</f>
        <v/>
      </c>
      <c r="C6" s="16">
        <f>IF(B20&gt;=Assumptions!$B$10,IF(COLUMN()&lt;14,Assumptions!$B$13,Assumptions!$B$14)*IF(C2="IN-SEASON",Assumptions!$B$15,Assumptions!$B$16),0)</f>
        <v/>
      </c>
      <c r="D6" s="16">
        <f>IF(C20&gt;=Assumptions!$B$10,IF(COLUMN()&lt;14,Assumptions!$B$13,Assumptions!$B$14)*IF(D2="IN-SEASON",Assumptions!$B$15,Assumptions!$B$16),0)</f>
        <v/>
      </c>
      <c r="E6" s="16">
        <f>IF(D20&gt;=Assumptions!$B$10,IF(COLUMN()&lt;14,Assumptions!$B$13,Assumptions!$B$14)*IF(E2="IN-SEASON",Assumptions!$B$15,Assumptions!$B$16),0)</f>
        <v/>
      </c>
      <c r="F6" s="16">
        <f>IF(E20&gt;=Assumptions!$B$10,IF(COLUMN()&lt;14,Assumptions!$B$13,Assumptions!$B$14)*IF(F2="IN-SEASON",Assumptions!$B$15,Assumptions!$B$16),0)</f>
        <v/>
      </c>
      <c r="G6" s="16">
        <f>IF(F20&gt;=Assumptions!$B$10,IF(COLUMN()&lt;14,Assumptions!$B$13,Assumptions!$B$14)*IF(G2="IN-SEASON",Assumptions!$B$15,Assumptions!$B$16),0)</f>
        <v/>
      </c>
      <c r="H6" s="16">
        <f>IF(G20&gt;=Assumptions!$B$10,IF(COLUMN()&lt;14,Assumptions!$B$13,Assumptions!$B$14)*IF(H2="IN-SEASON",Assumptions!$B$15,Assumptions!$B$16),0)</f>
        <v/>
      </c>
      <c r="I6" s="16">
        <f>IF(H20&gt;=Assumptions!$B$10,IF(COLUMN()&lt;14,Assumptions!$B$13,Assumptions!$B$14)*IF(I2="IN-SEASON",Assumptions!$B$15,Assumptions!$B$16),0)</f>
        <v/>
      </c>
      <c r="J6" s="16">
        <f>IF(I20&gt;=Assumptions!$B$10,IF(COLUMN()&lt;14,Assumptions!$B$13,Assumptions!$B$14)*IF(J2="IN-SEASON",Assumptions!$B$15,Assumptions!$B$16),0)</f>
        <v/>
      </c>
      <c r="K6" s="16">
        <f>IF(J20&gt;=Assumptions!$B$10,IF(COLUMN()&lt;14,Assumptions!$B$13,Assumptions!$B$14)*IF(K2="IN-SEASON",Assumptions!$B$15,Assumptions!$B$16),0)</f>
        <v/>
      </c>
      <c r="L6" s="16">
        <f>IF(K20&gt;=Assumptions!$B$10,IF(COLUMN()&lt;14,Assumptions!$B$13,Assumptions!$B$14)*IF(L2="IN-SEASON",Assumptions!$B$15,Assumptions!$B$16),0)</f>
        <v/>
      </c>
      <c r="M6" s="16">
        <f>IF(L20&gt;=Assumptions!$B$10,IF(COLUMN()&lt;14,Assumptions!$B$13,Assumptions!$B$14)*IF(M2="IN-SEASON",Assumptions!$B$15,Assumptions!$B$16),0)</f>
        <v/>
      </c>
      <c r="N6" s="16">
        <f>IF(M20&gt;=Assumptions!$B$10,IF(COLUMN()&lt;14,Assumptions!$B$13,Assumptions!$B$14)*IF(N2="IN-SEASON",Assumptions!$B$15,Assumptions!$B$16),0)</f>
        <v/>
      </c>
      <c r="O6" s="16">
        <f>IF(N20&gt;=Assumptions!$B$10,IF(COLUMN()&lt;14,Assumptions!$B$13,Assumptions!$B$14)*IF(O2="IN-SEASON",Assumptions!$B$15,Assumptions!$B$16),0)</f>
        <v/>
      </c>
      <c r="P6" s="16">
        <f>IF(O20&gt;=Assumptions!$B$10,IF(COLUMN()&lt;14,Assumptions!$B$13,Assumptions!$B$14)*IF(P2="IN-SEASON",Assumptions!$B$15,Assumptions!$B$16),0)</f>
        <v/>
      </c>
      <c r="Q6" s="16">
        <f>IF(P20&gt;=Assumptions!$B$10,IF(COLUMN()&lt;14,Assumptions!$B$13,Assumptions!$B$14)*IF(Q2="IN-SEASON",Assumptions!$B$15,Assumptions!$B$16),0)</f>
        <v/>
      </c>
      <c r="R6" s="16">
        <f>IF(Q20&gt;=Assumptions!$B$10,IF(COLUMN()&lt;14,Assumptions!$B$13,Assumptions!$B$14)*IF(R2="IN-SEASON",Assumptions!$B$15,Assumptions!$B$16),0)</f>
        <v/>
      </c>
      <c r="S6" s="16">
        <f>IF(R20&gt;=Assumptions!$B$10,IF(COLUMN()&lt;14,Assumptions!$B$13,Assumptions!$B$14)*IF(S2="IN-SEASON",Assumptions!$B$15,Assumptions!$B$16),0)</f>
        <v/>
      </c>
      <c r="T6" s="16">
        <f>IF(S20&gt;=Assumptions!$B$10,IF(COLUMN()&lt;14,Assumptions!$B$13,Assumptions!$B$14)*IF(T2="IN-SEASON",Assumptions!$B$15,Assumptions!$B$16),0)</f>
        <v/>
      </c>
      <c r="U6" s="16">
        <f>IF(T20&gt;=Assumptions!$B$10,IF(COLUMN()&lt;14,Assumptions!$B$13,Assumptions!$B$14)*IF(U2="IN-SEASON",Assumptions!$B$15,Assumptions!$B$16),0)</f>
        <v/>
      </c>
      <c r="V6" s="16">
        <f>IF(U20&gt;=Assumptions!$B$10,IF(COLUMN()&lt;14,Assumptions!$B$13,Assumptions!$B$14)*IF(V2="IN-SEASON",Assumptions!$B$15,Assumptions!$B$16),0)</f>
        <v/>
      </c>
      <c r="W6" s="16">
        <f>IF(V20&gt;=Assumptions!$B$10,IF(COLUMN()&lt;14,Assumptions!$B$13,Assumptions!$B$14)*IF(W2="IN-SEASON",Assumptions!$B$15,Assumptions!$B$16),0)</f>
        <v/>
      </c>
      <c r="X6" s="16">
        <f>IF(W20&gt;=Assumptions!$B$10,IF(COLUMN()&lt;14,Assumptions!$B$13,Assumptions!$B$14)*IF(X2="IN-SEASON",Assumptions!$B$15,Assumptions!$B$16),0)</f>
        <v/>
      </c>
      <c r="Y6" s="16">
        <f>IF(X20&gt;=Assumptions!$B$10,IF(COLUMN()&lt;14,Assumptions!$B$13,Assumptions!$B$14)*IF(Y2="IN-SEASON",Assumptions!$B$15,Assumptions!$B$16),0)</f>
        <v/>
      </c>
    </row>
    <row r="7">
      <c r="A7" s="3" t="inlineStr">
        <is>
          <t xml:space="preserve">  Churn Rate (Free)</t>
        </is>
      </c>
      <c r="B7" s="16">
        <f>IF(B2="IN-SEASON",Assumptions!$B$23,Assumptions!$B$24)</f>
        <v/>
      </c>
      <c r="C7" s="16">
        <f>IF(C2="IN-SEASON",Assumptions!$B$23,Assumptions!$B$24)</f>
        <v/>
      </c>
      <c r="D7" s="16">
        <f>IF(D2="IN-SEASON",Assumptions!$B$23,Assumptions!$B$24)</f>
        <v/>
      </c>
      <c r="E7" s="16">
        <f>IF(E2="IN-SEASON",Assumptions!$B$23,Assumptions!$B$24)</f>
        <v/>
      </c>
      <c r="F7" s="16">
        <f>IF(F2="IN-SEASON",Assumptions!$B$23,Assumptions!$B$24)</f>
        <v/>
      </c>
      <c r="G7" s="16">
        <f>IF(G2="IN-SEASON",Assumptions!$B$23,Assumptions!$B$24)</f>
        <v/>
      </c>
      <c r="H7" s="16">
        <f>IF(H2="IN-SEASON",Assumptions!$B$23,Assumptions!$B$24)</f>
        <v/>
      </c>
      <c r="I7" s="16">
        <f>IF(I2="IN-SEASON",Assumptions!$B$23,Assumptions!$B$24)</f>
        <v/>
      </c>
      <c r="J7" s="16">
        <f>IF(J2="IN-SEASON",Assumptions!$B$23,Assumptions!$B$24)</f>
        <v/>
      </c>
      <c r="K7" s="16">
        <f>IF(K2="IN-SEASON",Assumptions!$B$23,Assumptions!$B$24)</f>
        <v/>
      </c>
      <c r="L7" s="16">
        <f>IF(L2="IN-SEASON",Assumptions!$B$23,Assumptions!$B$24)</f>
        <v/>
      </c>
      <c r="M7" s="16">
        <f>IF(M2="IN-SEASON",Assumptions!$B$23,Assumptions!$B$24)</f>
        <v/>
      </c>
      <c r="N7" s="16">
        <f>IF(N2="IN-SEASON",Assumptions!$B$23,Assumptions!$B$24)</f>
        <v/>
      </c>
      <c r="O7" s="16">
        <f>IF(O2="IN-SEASON",Assumptions!$B$23,Assumptions!$B$24)</f>
        <v/>
      </c>
      <c r="P7" s="16">
        <f>IF(P2="IN-SEASON",Assumptions!$B$23,Assumptions!$B$24)</f>
        <v/>
      </c>
      <c r="Q7" s="16">
        <f>IF(Q2="IN-SEASON",Assumptions!$B$23,Assumptions!$B$24)</f>
        <v/>
      </c>
      <c r="R7" s="16">
        <f>IF(R2="IN-SEASON",Assumptions!$B$23,Assumptions!$B$24)</f>
        <v/>
      </c>
      <c r="S7" s="16">
        <f>IF(S2="IN-SEASON",Assumptions!$B$23,Assumptions!$B$24)</f>
        <v/>
      </c>
      <c r="T7" s="16">
        <f>IF(T2="IN-SEASON",Assumptions!$B$23,Assumptions!$B$24)</f>
        <v/>
      </c>
      <c r="U7" s="16">
        <f>IF(U2="IN-SEASON",Assumptions!$B$23,Assumptions!$B$24)</f>
        <v/>
      </c>
      <c r="V7" s="16">
        <f>IF(V2="IN-SEASON",Assumptions!$B$23,Assumptions!$B$24)</f>
        <v/>
      </c>
      <c r="W7" s="16">
        <f>IF(W2="IN-SEASON",Assumptions!$B$23,Assumptions!$B$24)</f>
        <v/>
      </c>
      <c r="X7" s="16">
        <f>IF(X2="IN-SEASON",Assumptions!$B$23,Assumptions!$B$24)</f>
        <v/>
      </c>
      <c r="Y7" s="16">
        <f>IF(Y2="IN-SEASON",Assumptions!$B$23,Assumptions!$B$24)</f>
        <v/>
      </c>
    </row>
    <row r="8">
      <c r="A8" s="3" t="inlineStr">
        <is>
          <t xml:space="preserve">  Churn Rate (Pro)</t>
        </is>
      </c>
      <c r="B8" s="16">
        <f>IF(B2="IN-SEASON",Assumptions!$B$19,Assumptions!$B$20)</f>
        <v/>
      </c>
      <c r="C8" s="16">
        <f>IF(C2="IN-SEASON",Assumptions!$B$19,Assumptions!$B$20)</f>
        <v/>
      </c>
      <c r="D8" s="16">
        <f>IF(D2="IN-SEASON",Assumptions!$B$19,Assumptions!$B$20)</f>
        <v/>
      </c>
      <c r="E8" s="16">
        <f>IF(E2="IN-SEASON",Assumptions!$B$19,Assumptions!$B$20)</f>
        <v/>
      </c>
      <c r="F8" s="16">
        <f>IF(F2="IN-SEASON",Assumptions!$B$19,Assumptions!$B$20)</f>
        <v/>
      </c>
      <c r="G8" s="16">
        <f>IF(G2="IN-SEASON",Assumptions!$B$19,Assumptions!$B$20)</f>
        <v/>
      </c>
      <c r="H8" s="16">
        <f>IF(H2="IN-SEASON",Assumptions!$B$19,Assumptions!$B$20)</f>
        <v/>
      </c>
      <c r="I8" s="16">
        <f>IF(I2="IN-SEASON",Assumptions!$B$19,Assumptions!$B$20)</f>
        <v/>
      </c>
      <c r="J8" s="16">
        <f>IF(J2="IN-SEASON",Assumptions!$B$19,Assumptions!$B$20)</f>
        <v/>
      </c>
      <c r="K8" s="16">
        <f>IF(K2="IN-SEASON",Assumptions!$B$19,Assumptions!$B$20)</f>
        <v/>
      </c>
      <c r="L8" s="16">
        <f>IF(L2="IN-SEASON",Assumptions!$B$19,Assumptions!$B$20)</f>
        <v/>
      </c>
      <c r="M8" s="16">
        <f>IF(M2="IN-SEASON",Assumptions!$B$19,Assumptions!$B$20)</f>
        <v/>
      </c>
      <c r="N8" s="16">
        <f>IF(N2="IN-SEASON",Assumptions!$B$19,Assumptions!$B$20)</f>
        <v/>
      </c>
      <c r="O8" s="16">
        <f>IF(O2="IN-SEASON",Assumptions!$B$19,Assumptions!$B$20)</f>
        <v/>
      </c>
      <c r="P8" s="16">
        <f>IF(P2="IN-SEASON",Assumptions!$B$19,Assumptions!$B$20)</f>
        <v/>
      </c>
      <c r="Q8" s="16">
        <f>IF(Q2="IN-SEASON",Assumptions!$B$19,Assumptions!$B$20)</f>
        <v/>
      </c>
      <c r="R8" s="16">
        <f>IF(R2="IN-SEASON",Assumptions!$B$19,Assumptions!$B$20)</f>
        <v/>
      </c>
      <c r="S8" s="16">
        <f>IF(S2="IN-SEASON",Assumptions!$B$19,Assumptions!$B$20)</f>
        <v/>
      </c>
      <c r="T8" s="16">
        <f>IF(T2="IN-SEASON",Assumptions!$B$19,Assumptions!$B$20)</f>
        <v/>
      </c>
      <c r="U8" s="16">
        <f>IF(U2="IN-SEASON",Assumptions!$B$19,Assumptions!$B$20)</f>
        <v/>
      </c>
      <c r="V8" s="16">
        <f>IF(V2="IN-SEASON",Assumptions!$B$19,Assumptions!$B$20)</f>
        <v/>
      </c>
      <c r="W8" s="16">
        <f>IF(W2="IN-SEASON",Assumptions!$B$19,Assumptions!$B$20)</f>
        <v/>
      </c>
      <c r="X8" s="16">
        <f>IF(X2="IN-SEASON",Assumptions!$B$19,Assumptions!$B$20)</f>
        <v/>
      </c>
      <c r="Y8" s="16">
        <f>IF(Y2="IN-SEASON",Assumptions!$B$19,Assumptions!$B$20)</f>
        <v/>
      </c>
    </row>
    <row r="9">
      <c r="A9" s="3" t="inlineStr">
        <is>
          <t xml:space="preserve">  Churn Rate (Comm)</t>
        </is>
      </c>
      <c r="B9" s="16">
        <f>IF(B2="IN-SEASON",Assumptions!$B$21,Assumptions!$B$22)</f>
        <v/>
      </c>
      <c r="C9" s="16">
        <f>IF(C2="IN-SEASON",Assumptions!$B$21,Assumptions!$B$22)</f>
        <v/>
      </c>
      <c r="D9" s="16">
        <f>IF(D2="IN-SEASON",Assumptions!$B$21,Assumptions!$B$22)</f>
        <v/>
      </c>
      <c r="E9" s="16">
        <f>IF(E2="IN-SEASON",Assumptions!$B$21,Assumptions!$B$22)</f>
        <v/>
      </c>
      <c r="F9" s="16">
        <f>IF(F2="IN-SEASON",Assumptions!$B$21,Assumptions!$B$22)</f>
        <v/>
      </c>
      <c r="G9" s="16">
        <f>IF(G2="IN-SEASON",Assumptions!$B$21,Assumptions!$B$22)</f>
        <v/>
      </c>
      <c r="H9" s="16">
        <f>IF(H2="IN-SEASON",Assumptions!$B$21,Assumptions!$B$22)</f>
        <v/>
      </c>
      <c r="I9" s="16">
        <f>IF(I2="IN-SEASON",Assumptions!$B$21,Assumptions!$B$22)</f>
        <v/>
      </c>
      <c r="J9" s="16">
        <f>IF(J2="IN-SEASON",Assumptions!$B$21,Assumptions!$B$22)</f>
        <v/>
      </c>
      <c r="K9" s="16">
        <f>IF(K2="IN-SEASON",Assumptions!$B$21,Assumptions!$B$22)</f>
        <v/>
      </c>
      <c r="L9" s="16">
        <f>IF(L2="IN-SEASON",Assumptions!$B$21,Assumptions!$B$22)</f>
        <v/>
      </c>
      <c r="M9" s="16">
        <f>IF(M2="IN-SEASON",Assumptions!$B$21,Assumptions!$B$22)</f>
        <v/>
      </c>
      <c r="N9" s="16">
        <f>IF(N2="IN-SEASON",Assumptions!$B$21,Assumptions!$B$22)</f>
        <v/>
      </c>
      <c r="O9" s="16">
        <f>IF(O2="IN-SEASON",Assumptions!$B$21,Assumptions!$B$22)</f>
        <v/>
      </c>
      <c r="P9" s="16">
        <f>IF(P2="IN-SEASON",Assumptions!$B$21,Assumptions!$B$22)</f>
        <v/>
      </c>
      <c r="Q9" s="16">
        <f>IF(Q2="IN-SEASON",Assumptions!$B$21,Assumptions!$B$22)</f>
        <v/>
      </c>
      <c r="R9" s="16">
        <f>IF(R2="IN-SEASON",Assumptions!$B$21,Assumptions!$B$22)</f>
        <v/>
      </c>
      <c r="S9" s="16">
        <f>IF(S2="IN-SEASON",Assumptions!$B$21,Assumptions!$B$22)</f>
        <v/>
      </c>
      <c r="T9" s="16">
        <f>IF(T2="IN-SEASON",Assumptions!$B$21,Assumptions!$B$22)</f>
        <v/>
      </c>
      <c r="U9" s="16">
        <f>IF(U2="IN-SEASON",Assumptions!$B$21,Assumptions!$B$22)</f>
        <v/>
      </c>
      <c r="V9" s="16">
        <f>IF(V2="IN-SEASON",Assumptions!$B$21,Assumptions!$B$22)</f>
        <v/>
      </c>
      <c r="W9" s="16">
        <f>IF(W2="IN-SEASON",Assumptions!$B$21,Assumptions!$B$22)</f>
        <v/>
      </c>
      <c r="X9" s="16">
        <f>IF(X2="IN-SEASON",Assumptions!$B$21,Assumptions!$B$22)</f>
        <v/>
      </c>
      <c r="Y9" s="16">
        <f>IF(Y2="IN-SEASON",Assumptions!$B$21,Assumptions!$B$22)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Token Top-Ups (Free @ $2.99)</t>
        </is>
      </c>
      <c r="B12" s="15">
        <f>'User Growth'!B17*Assumptions!$B$34*Assumptions!$B$32</f>
        <v/>
      </c>
      <c r="C12" s="15">
        <f>'User Growth'!C17*Assumptions!$B$34*Assumptions!$B$32</f>
        <v/>
      </c>
      <c r="D12" s="15">
        <f>'User Growth'!D17*Assumptions!$B$34*Assumptions!$B$32</f>
        <v/>
      </c>
      <c r="E12" s="15">
        <f>'User Growth'!E17*Assumptions!$B$34*Assumptions!$B$32</f>
        <v/>
      </c>
      <c r="F12" s="15">
        <f>'User Growth'!F17*Assumptions!$B$34*Assumptions!$B$32</f>
        <v/>
      </c>
      <c r="G12" s="15">
        <f>'User Growth'!G17*Assumptions!$B$34*Assumptions!$B$32</f>
        <v/>
      </c>
      <c r="H12" s="15">
        <f>'User Growth'!H17*Assumptions!$B$34*Assumptions!$B$32</f>
        <v/>
      </c>
      <c r="I12" s="15">
        <f>'User Growth'!I17*Assumptions!$B$34*Assumptions!$B$32</f>
        <v/>
      </c>
      <c r="J12" s="15">
        <f>'User Growth'!J17*Assumptions!$B$34*Assumptions!$B$32</f>
        <v/>
      </c>
      <c r="K12" s="15">
        <f>'User Growth'!K17*Assumptions!$B$34*Assumptions!$B$32</f>
        <v/>
      </c>
      <c r="L12" s="15">
        <f>'User Growth'!L17*Assumptions!$B$34*Assumptions!$B$32</f>
        <v/>
      </c>
      <c r="M12" s="15">
        <f>'User Growth'!M17*Assumptions!$B$34*Assumptions!$B$32</f>
        <v/>
      </c>
      <c r="N12" s="15">
        <f>'User Growth'!N17*Assumptions!$B$34*Assumptions!$B$32</f>
        <v/>
      </c>
      <c r="O12" s="15">
        <f>'User Growth'!O17*Assumptions!$B$34*Assumptions!$B$32</f>
        <v/>
      </c>
      <c r="P12" s="15">
        <f>'User Growth'!P17*Assumptions!$B$34*Assumptions!$B$32</f>
        <v/>
      </c>
      <c r="Q12" s="15">
        <f>'User Growth'!Q17*Assumptions!$B$34*Assumptions!$B$32</f>
        <v/>
      </c>
      <c r="R12" s="15">
        <f>'User Growth'!R17*Assumptions!$B$34*Assumptions!$B$32</f>
        <v/>
      </c>
      <c r="S12" s="15">
        <f>'User Growth'!S17*Assumptions!$B$34*Assumptions!$B$32</f>
        <v/>
      </c>
      <c r="T12" s="15">
        <f>'User Growth'!T17*Assumptions!$B$34*Assumptions!$B$32</f>
        <v/>
      </c>
      <c r="U12" s="15">
        <f>'User Growth'!U17*Assumptions!$B$34*Assumptions!$B$32</f>
        <v/>
      </c>
      <c r="V12" s="15">
        <f>'User Growth'!V17*Assumptions!$B$34*Assumptions!$B$32</f>
        <v/>
      </c>
      <c r="W12" s="15">
        <f>'User Growth'!W17*Assumptions!$B$34*Assumptions!$B$32</f>
        <v/>
      </c>
      <c r="X12" s="15">
        <f>'User Growth'!X17*Assumptions!$B$34*Assumptions!$B$32</f>
        <v/>
      </c>
      <c r="Y12" s="15">
        <f>'User Growth'!Y17*Assumptions!$B$34*Assumptions!$B$32</f>
        <v/>
      </c>
    </row>
    <row r="13">
      <c r="A13" s="3" t="inlineStr">
        <is>
          <t xml:space="preserve">  Token Top-Ups (Paid @ $1.99)</t>
        </is>
      </c>
      <c r="B13" s="15">
        <f>('User Growth'!B18+'User Growth'!B19)*Assumptions!$B$35*Assumptions!$B$33</f>
        <v/>
      </c>
      <c r="C13" s="15">
        <f>('User Growth'!C18+'User Growth'!C19)*Assumptions!$B$35*Assumptions!$B$33</f>
        <v/>
      </c>
      <c r="D13" s="15">
        <f>('User Growth'!D18+'User Growth'!D19)*Assumptions!$B$35*Assumptions!$B$33</f>
        <v/>
      </c>
      <c r="E13" s="15">
        <f>('User Growth'!E18+'User Growth'!E19)*Assumptions!$B$35*Assumptions!$B$33</f>
        <v/>
      </c>
      <c r="F13" s="15">
        <f>('User Growth'!F18+'User Growth'!F19)*Assumptions!$B$35*Assumptions!$B$33</f>
        <v/>
      </c>
      <c r="G13" s="15">
        <f>('User Growth'!G18+'User Growth'!G19)*Assumptions!$B$35*Assumptions!$B$33</f>
        <v/>
      </c>
      <c r="H13" s="15">
        <f>('User Growth'!H18+'User Growth'!H19)*Assumptions!$B$35*Assumptions!$B$33</f>
        <v/>
      </c>
      <c r="I13" s="15">
        <f>('User Growth'!I18+'User Growth'!I19)*Assumptions!$B$35*Assumptions!$B$33</f>
        <v/>
      </c>
      <c r="J13" s="15">
        <f>('User Growth'!J18+'User Growth'!J19)*Assumptions!$B$35*Assumptions!$B$33</f>
        <v/>
      </c>
      <c r="K13" s="15">
        <f>('User Growth'!K18+'User Growth'!K19)*Assumptions!$B$35*Assumptions!$B$33</f>
        <v/>
      </c>
      <c r="L13" s="15">
        <f>('User Growth'!L18+'User Growth'!L19)*Assumptions!$B$35*Assumptions!$B$33</f>
        <v/>
      </c>
      <c r="M13" s="15">
        <f>('User Growth'!M18+'User Growth'!M19)*Assumptions!$B$35*Assumptions!$B$33</f>
        <v/>
      </c>
      <c r="N13" s="15">
        <f>('User Growth'!N18+'User Growth'!N19)*Assumptions!$B$35*Assumptions!$B$33</f>
        <v/>
      </c>
      <c r="O13" s="15">
        <f>('User Growth'!O18+'User Growth'!O19)*Assumptions!$B$35*Assumptions!$B$33</f>
        <v/>
      </c>
      <c r="P13" s="15">
        <f>('User Growth'!P18+'User Growth'!P19)*Assumptions!$B$35*Assumptions!$B$33</f>
        <v/>
      </c>
      <c r="Q13" s="15">
        <f>('User Growth'!Q18+'User Growth'!Q19)*Assumptions!$B$35*Assumptions!$B$33</f>
        <v/>
      </c>
      <c r="R13" s="15">
        <f>('User Growth'!R18+'User Growth'!R19)*Assumptions!$B$35*Assumptions!$B$33</f>
        <v/>
      </c>
      <c r="S13" s="15">
        <f>('User Growth'!S18+'User Growth'!S19)*Assumptions!$B$35*Assumptions!$B$33</f>
        <v/>
      </c>
      <c r="T13" s="15">
        <f>('User Growth'!T18+'User Growth'!T19)*Assumptions!$B$35*Assumptions!$B$33</f>
        <v/>
      </c>
      <c r="U13" s="15">
        <f>('User Growth'!U18+'User Growth'!U19)*Assumptions!$B$35*Assumptions!$B$33</f>
        <v/>
      </c>
      <c r="V13" s="15">
        <f>('User Growth'!V18+'User Growth'!V19)*Assumptions!$B$35*Assumptions!$B$33</f>
        <v/>
      </c>
      <c r="W13" s="15">
        <f>('User Growth'!W18+'User Growth'!W19)*Assumptions!$B$35*Assumptions!$B$33</f>
        <v/>
      </c>
      <c r="X13" s="15">
        <f>('User Growth'!X18+'User Growth'!X19)*Assumptions!$B$35*Assumptions!$B$33</f>
        <v/>
      </c>
      <c r="Y13" s="15">
        <f>('User Growth'!Y18+'User Growth'!Y19)*Assumptions!$B$35*Assumptions!$B$33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Growth'!B20*Assumptions!$B$37*Assumptions!$B$36,0)</f>
        <v/>
      </c>
      <c r="C14" s="15">
        <f>IF(OR(COLUMN()=7,COLUMN()=8,COLUMN()=19,COLUMN()=20),'User Growth'!C20*Assumptions!$B$37*Assumptions!$B$36,0)</f>
        <v/>
      </c>
      <c r="D14" s="15">
        <f>IF(OR(COLUMN()=7,COLUMN()=8,COLUMN()=19,COLUMN()=20),'User Growth'!D20*Assumptions!$B$37*Assumptions!$B$36,0)</f>
        <v/>
      </c>
      <c r="E14" s="15">
        <f>IF(OR(COLUMN()=7,COLUMN()=8,COLUMN()=19,COLUMN()=20),'User Growth'!E20*Assumptions!$B$37*Assumptions!$B$36,0)</f>
        <v/>
      </c>
      <c r="F14" s="15">
        <f>IF(OR(COLUMN()=7,COLUMN()=8,COLUMN()=19,COLUMN()=20),'User Growth'!F20*Assumptions!$B$37*Assumptions!$B$36,0)</f>
        <v/>
      </c>
      <c r="G14" s="15">
        <f>IF(OR(COLUMN()=7,COLUMN()=8,COLUMN()=19,COLUMN()=20),'User Growth'!G20*Assumptions!$B$37*Assumptions!$B$36,0)</f>
        <v/>
      </c>
      <c r="H14" s="15">
        <f>IF(OR(COLUMN()=7,COLUMN()=8,COLUMN()=19,COLUMN()=20),'User Growth'!H20*Assumptions!$B$37*Assumptions!$B$36,0)</f>
        <v/>
      </c>
      <c r="I14" s="15">
        <f>IF(OR(COLUMN()=7,COLUMN()=8,COLUMN()=19,COLUMN()=20),'User Growth'!I20*Assumptions!$B$37*Assumptions!$B$36,0)</f>
        <v/>
      </c>
      <c r="J14" s="15">
        <f>IF(OR(COLUMN()=7,COLUMN()=8,COLUMN()=19,COLUMN()=20),'User Growth'!J20*Assumptions!$B$37*Assumptions!$B$36,0)</f>
        <v/>
      </c>
      <c r="K14" s="15">
        <f>IF(OR(COLUMN()=7,COLUMN()=8,COLUMN()=19,COLUMN()=20),'User Growth'!K20*Assumptions!$B$37*Assumptions!$B$36,0)</f>
        <v/>
      </c>
      <c r="L14" s="15">
        <f>IF(OR(COLUMN()=7,COLUMN()=8,COLUMN()=19,COLUMN()=20),'User Growth'!L20*Assumptions!$B$37*Assumptions!$B$36,0)</f>
        <v/>
      </c>
      <c r="M14" s="15">
        <f>IF(OR(COLUMN()=7,COLUMN()=8,COLUMN()=19,COLUMN()=20),'User Growth'!M20*Assumptions!$B$37*Assumptions!$B$36,0)</f>
        <v/>
      </c>
      <c r="N14" s="15">
        <f>IF(OR(COLUMN()=7,COLUMN()=8,COLUMN()=19,COLUMN()=20),'User Growth'!N20*Assumptions!$B$37*Assumptions!$B$36,0)</f>
        <v/>
      </c>
      <c r="O14" s="15">
        <f>IF(OR(COLUMN()=7,COLUMN()=8,COLUMN()=19,COLUMN()=20),'User Growth'!O20*Assumptions!$B$37*Assumptions!$B$36,0)</f>
        <v/>
      </c>
      <c r="P14" s="15">
        <f>IF(OR(COLUMN()=7,COLUMN()=8,COLUMN()=19,COLUMN()=20),'User Growth'!P20*Assumptions!$B$37*Assumptions!$B$36,0)</f>
        <v/>
      </c>
      <c r="Q14" s="15">
        <f>IF(OR(COLUMN()=7,COLUMN()=8,COLUMN()=19,COLUMN()=20),'User Growth'!Q20*Assumptions!$B$37*Assumptions!$B$36,0)</f>
        <v/>
      </c>
      <c r="R14" s="15">
        <f>IF(OR(COLUMN()=7,COLUMN()=8,COLUMN()=19,COLUMN()=20),'User Growth'!R20*Assumptions!$B$37*Assumptions!$B$36,0)</f>
        <v/>
      </c>
      <c r="S14" s="15">
        <f>IF(OR(COLUMN()=7,COLUMN()=8,COLUMN()=19,COLUMN()=20),'User Growth'!S20*Assumptions!$B$37*Assumptions!$B$36,0)</f>
        <v/>
      </c>
      <c r="T14" s="15">
        <f>IF(OR(COLUMN()=7,COLUMN()=8,COLUMN()=19,COLUMN()=20),'User Growth'!T20*Assumptions!$B$37*Assumptions!$B$36,0)</f>
        <v/>
      </c>
      <c r="U14" s="15">
        <f>IF(OR(COLUMN()=7,COLUMN()=8,COLUMN()=19,COLUMN()=20),'User Growth'!U20*Assumptions!$B$37*Assumptions!$B$36,0)</f>
        <v/>
      </c>
      <c r="V14" s="15">
        <f>IF(OR(COLUMN()=7,COLUMN()=8,COLUMN()=19,COLUMN()=20),'User Growth'!V20*Assumptions!$B$37*Assumptions!$B$36,0)</f>
        <v/>
      </c>
      <c r="W14" s="15">
        <f>IF(OR(COLUMN()=7,COLUMN()=8,COLUMN()=19,COLUMN()=20),'User Growth'!W20*Assumptions!$B$37*Assumptions!$B$36,0)</f>
        <v/>
      </c>
      <c r="X14" s="15">
        <f>IF(OR(COLUMN()=7,COLUMN()=8,COLUMN()=19,COLUMN()=20),'User Growth'!X20*Assumptions!$B$37*Assumptions!$B$36,0)</f>
        <v/>
      </c>
      <c r="Y14" s="15">
        <f>IF(OR(COLUMN()=7,COLUMN()=8,COLUMN()=19,COLUMN()=20),'User Growth'!Y20*Assumptions!$B$37*Assumptions!$B$36,0)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IF(COLUMN()-2&gt;=Assumptions!$B$44,'User Growth'!B20*Assumptions!$B$42*Assumptions!$B$43*Assumptions!$B$41,0)</f>
        <v/>
      </c>
      <c r="C18" s="15">
        <f>IF(COLUMN()-2&gt;=Assumptions!$B$44,'User Growth'!C20*Assumptions!$B$42*Assumptions!$B$43*Assumptions!$B$41,0)</f>
        <v/>
      </c>
      <c r="D18" s="15">
        <f>IF(COLUMN()-2&gt;=Assumptions!$B$44,'User Growth'!D20*Assumptions!$B$42*Assumptions!$B$43*Assumptions!$B$41,0)</f>
        <v/>
      </c>
      <c r="E18" s="15">
        <f>IF(COLUMN()-2&gt;=Assumptions!$B$44,'User Growth'!E20*Assumptions!$B$42*Assumptions!$B$43*Assumptions!$B$41,0)</f>
        <v/>
      </c>
      <c r="F18" s="15">
        <f>IF(COLUMN()-2&gt;=Assumptions!$B$44,'User Growth'!F20*Assumptions!$B$42*Assumptions!$B$43*Assumptions!$B$41,0)</f>
        <v/>
      </c>
      <c r="G18" s="15">
        <f>IF(COLUMN()-2&gt;=Assumptions!$B$44,'User Growth'!G20*Assumptions!$B$42*Assumptions!$B$43*Assumptions!$B$41,0)</f>
        <v/>
      </c>
      <c r="H18" s="15">
        <f>IF(COLUMN()-2&gt;=Assumptions!$B$44,'User Growth'!H20*Assumptions!$B$42*Assumptions!$B$43*Assumptions!$B$41,0)</f>
        <v/>
      </c>
      <c r="I18" s="15">
        <f>IF(COLUMN()-2&gt;=Assumptions!$B$44,'User Growth'!I20*Assumptions!$B$42*Assumptions!$B$43*Assumptions!$B$41,0)</f>
        <v/>
      </c>
      <c r="J18" s="15">
        <f>IF(COLUMN()-2&gt;=Assumptions!$B$44,'User Growth'!J20*Assumptions!$B$42*Assumptions!$B$43*Assumptions!$B$41,0)</f>
        <v/>
      </c>
      <c r="K18" s="15">
        <f>IF(COLUMN()-2&gt;=Assumptions!$B$44,'User Growth'!K20*Assumptions!$B$42*Assumptions!$B$43*Assumptions!$B$41,0)</f>
        <v/>
      </c>
      <c r="L18" s="15">
        <f>IF(COLUMN()-2&gt;=Assumptions!$B$44,'User Growth'!L20*Assumptions!$B$42*Assumptions!$B$43*Assumptions!$B$41,0)</f>
        <v/>
      </c>
      <c r="M18" s="15">
        <f>IF(COLUMN()-2&gt;=Assumptions!$B$44,'User Growth'!M20*Assumptions!$B$42*Assumptions!$B$43*Assumptions!$B$41,0)</f>
        <v/>
      </c>
      <c r="N18" s="15">
        <f>IF(COLUMN()-2&gt;=Assumptions!$B$44,'User Growth'!N20*Assumptions!$B$42*Assumptions!$B$43*Assumptions!$B$41,0)</f>
        <v/>
      </c>
      <c r="O18" s="15">
        <f>IF(COLUMN()-2&gt;=Assumptions!$B$44,'User Growth'!O20*Assumptions!$B$42*Assumptions!$B$43*Assumptions!$B$41,0)</f>
        <v/>
      </c>
      <c r="P18" s="15">
        <f>IF(COLUMN()-2&gt;=Assumptions!$B$44,'User Growth'!P20*Assumptions!$B$42*Assumptions!$B$43*Assumptions!$B$41,0)</f>
        <v/>
      </c>
      <c r="Q18" s="15">
        <f>IF(COLUMN()-2&gt;=Assumptions!$B$44,'User Growth'!Q20*Assumptions!$B$42*Assumptions!$B$43*Assumptions!$B$41,0)</f>
        <v/>
      </c>
      <c r="R18" s="15">
        <f>IF(COLUMN()-2&gt;=Assumptions!$B$44,'User Growth'!R20*Assumptions!$B$42*Assumptions!$B$43*Assumptions!$B$41,0)</f>
        <v/>
      </c>
      <c r="S18" s="15">
        <f>IF(COLUMN()-2&gt;=Assumptions!$B$44,'User Growth'!S20*Assumptions!$B$42*Assumptions!$B$43*Assumptions!$B$41,0)</f>
        <v/>
      </c>
      <c r="T18" s="15">
        <f>IF(COLUMN()-2&gt;=Assumptions!$B$44,'User Growth'!T20*Assumptions!$B$42*Assumptions!$B$43*Assumptions!$B$41,0)</f>
        <v/>
      </c>
      <c r="U18" s="15">
        <f>IF(COLUMN()-2&gt;=Assumptions!$B$44,'User Growth'!U20*Assumptions!$B$42*Assumptions!$B$43*Assumptions!$B$41,0)</f>
        <v/>
      </c>
      <c r="V18" s="15">
        <f>IF(COLUMN()-2&gt;=Assumptions!$B$44,'User Growth'!V20*Assumptions!$B$42*Assumptions!$B$43*Assumptions!$B$41,0)</f>
        <v/>
      </c>
      <c r="W18" s="15">
        <f>IF(COLUMN()-2&gt;=Assumptions!$B$44,'User Growth'!W20*Assumptions!$B$42*Assumptions!$B$43*Assumptions!$B$41,0)</f>
        <v/>
      </c>
      <c r="X18" s="15">
        <f>IF(COLUMN()-2&gt;=Assumptions!$B$44,'User Growth'!X20*Assumptions!$B$42*Assumptions!$B$43*Assumptions!$B$41,0)</f>
        <v/>
      </c>
      <c r="Y18" s="15">
        <f>IF(COLUMN()-2&gt;=Assumptions!$B$44,'User Growth'!Y20*Assumptions!$B$42*Assumptions!$B$43*Assumptions!$B$41,0)</f>
        <v/>
      </c>
    </row>
    <row r="19">
      <c r="A19" s="3" t="inlineStr">
        <is>
          <t xml:space="preserve">  DFS Rake Revenue</t>
        </is>
      </c>
      <c r="B19" s="15">
        <f>B18*Assumptions!$B$40</f>
        <v/>
      </c>
      <c r="C19" s="15">
        <f>C18*Assumptions!$B$40</f>
        <v/>
      </c>
      <c r="D19" s="15">
        <f>D18*Assumptions!$B$40</f>
        <v/>
      </c>
      <c r="E19" s="15">
        <f>E18*Assumptions!$B$40</f>
        <v/>
      </c>
      <c r="F19" s="15">
        <f>F18*Assumptions!$B$40</f>
        <v/>
      </c>
      <c r="G19" s="15">
        <f>G18*Assumptions!$B$40</f>
        <v/>
      </c>
      <c r="H19" s="15">
        <f>H18*Assumptions!$B$40</f>
        <v/>
      </c>
      <c r="I19" s="15">
        <f>I18*Assumptions!$B$40</f>
        <v/>
      </c>
      <c r="J19" s="15">
        <f>J18*Assumptions!$B$40</f>
        <v/>
      </c>
      <c r="K19" s="15">
        <f>K18*Assumptions!$B$40</f>
        <v/>
      </c>
      <c r="L19" s="15">
        <f>L18*Assumptions!$B$40</f>
        <v/>
      </c>
      <c r="M19" s="15">
        <f>M18*Assumptions!$B$40</f>
        <v/>
      </c>
      <c r="N19" s="15">
        <f>N18*Assumptions!$B$40</f>
        <v/>
      </c>
      <c r="O19" s="15">
        <f>O18*Assumptions!$B$40</f>
        <v/>
      </c>
      <c r="P19" s="15">
        <f>P18*Assumptions!$B$40</f>
        <v/>
      </c>
      <c r="Q19" s="15">
        <f>Q18*Assumptions!$B$40</f>
        <v/>
      </c>
      <c r="R19" s="15">
        <f>R18*Assumptions!$B$40</f>
        <v/>
      </c>
      <c r="S19" s="15">
        <f>S18*Assumptions!$B$40</f>
        <v/>
      </c>
      <c r="T19" s="15">
        <f>T18*Assumptions!$B$40</f>
        <v/>
      </c>
      <c r="U19" s="15">
        <f>U18*Assumptions!$B$40</f>
        <v/>
      </c>
      <c r="V19" s="15">
        <f>V18*Assumptions!$B$40</f>
        <v/>
      </c>
      <c r="W19" s="15">
        <f>W18*Assumptions!$B$40</f>
        <v/>
      </c>
      <c r="X19" s="15">
        <f>X18*Assumptions!$B$40</f>
        <v/>
      </c>
      <c r="Y19" s="15">
        <f>Y18*Assumptions!$B$40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Growth'!B2="IN-SEASON",Assumptions!$B$48,Assumptions!$B$49)*Assumptions!$B$50/1000</f>
        <v/>
      </c>
      <c r="C23" s="15">
        <f>'User Growth'!C17*IF('User Growth'!C2="IN-SEASON",Assumptions!$B$48,Assumptions!$B$49)*Assumptions!$B$50/1000</f>
        <v/>
      </c>
      <c r="D23" s="15">
        <f>'User Growth'!D17*IF('User Growth'!D2="IN-SEASON",Assumptions!$B$48,Assumptions!$B$49)*Assumptions!$B$50/1000</f>
        <v/>
      </c>
      <c r="E23" s="15">
        <f>'User Growth'!E17*IF('User Growth'!E2="IN-SEASON",Assumptions!$B$48,Assumptions!$B$49)*Assumptions!$B$50/1000</f>
        <v/>
      </c>
      <c r="F23" s="15">
        <f>'User Growth'!F17*IF('User Growth'!F2="IN-SEASON",Assumptions!$B$48,Assumptions!$B$49)*Assumptions!$B$50/1000</f>
        <v/>
      </c>
      <c r="G23" s="15">
        <f>'User Growth'!G17*IF('User Growth'!G2="IN-SEASON",Assumptions!$B$48,Assumptions!$B$49)*Assumptions!$B$50/1000</f>
        <v/>
      </c>
      <c r="H23" s="15">
        <f>'User Growth'!H17*IF('User Growth'!H2="IN-SEASON",Assumptions!$B$48,Assumptions!$B$49)*Assumptions!$B$50/1000</f>
        <v/>
      </c>
      <c r="I23" s="15">
        <f>'User Growth'!I17*IF('User Growth'!I2="IN-SEASON",Assumptions!$B$48,Assumptions!$B$49)*Assumptions!$B$50/1000</f>
        <v/>
      </c>
      <c r="J23" s="15">
        <f>'User Growth'!J17*IF('User Growth'!J2="IN-SEASON",Assumptions!$B$48,Assumptions!$B$49)*Assumptions!$B$50/1000</f>
        <v/>
      </c>
      <c r="K23" s="15">
        <f>'User Growth'!K17*IF('User Growth'!K2="IN-SEASON",Assumptions!$B$48,Assumptions!$B$49)*Assumptions!$B$50/1000</f>
        <v/>
      </c>
      <c r="L23" s="15">
        <f>'User Growth'!L17*IF('User Growth'!L2="IN-SEASON",Assumptions!$B$48,Assumptions!$B$49)*Assumptions!$B$50/1000</f>
        <v/>
      </c>
      <c r="M23" s="15">
        <f>'User Growth'!M17*IF('User Growth'!M2="IN-SEASON",Assumptions!$B$48,Assumptions!$B$49)*Assumptions!$B$50/1000</f>
        <v/>
      </c>
      <c r="N23" s="15">
        <f>'User Growth'!N17*IF('User Growth'!N2="IN-SEASON",Assumptions!$B$48,Assumptions!$B$49)*Assumptions!$B$50/1000</f>
        <v/>
      </c>
      <c r="O23" s="15">
        <f>'User Growth'!O17*IF('User Growth'!O2="IN-SEASON",Assumptions!$B$48,Assumptions!$B$49)*Assumptions!$B$50/1000</f>
        <v/>
      </c>
      <c r="P23" s="15">
        <f>'User Growth'!P17*IF('User Growth'!P2="IN-SEASON",Assumptions!$B$48,Assumptions!$B$49)*Assumptions!$B$50/1000</f>
        <v/>
      </c>
      <c r="Q23" s="15">
        <f>'User Growth'!Q17*IF('User Growth'!Q2="IN-SEASON",Assumptions!$B$48,Assumptions!$B$49)*Assumptions!$B$50/1000</f>
        <v/>
      </c>
      <c r="R23" s="15">
        <f>'User Growth'!R17*IF('User Growth'!R2="IN-SEASON",Assumptions!$B$48,Assumptions!$B$49)*Assumptions!$B$50/1000</f>
        <v/>
      </c>
      <c r="S23" s="15">
        <f>'User Growth'!S17*IF('User Growth'!S2="IN-SEASON",Assumptions!$B$48,Assumptions!$B$49)*Assumptions!$B$50/1000</f>
        <v/>
      </c>
      <c r="T23" s="15">
        <f>'User Growth'!T17*IF('User Growth'!T2="IN-SEASON",Assumptions!$B$48,Assumptions!$B$49)*Assumptions!$B$50/1000</f>
        <v/>
      </c>
      <c r="U23" s="15">
        <f>'User Growth'!U17*IF('User Growth'!U2="IN-SEASON",Assumptions!$B$48,Assumptions!$B$49)*Assumptions!$B$50/1000</f>
        <v/>
      </c>
      <c r="V23" s="15">
        <f>'User Growth'!V17*IF('User Growth'!V2="IN-SEASON",Assumptions!$B$48,Assumptions!$B$49)*Assumptions!$B$50/1000</f>
        <v/>
      </c>
      <c r="W23" s="15">
        <f>'User Growth'!W17*IF('User Growth'!W2="IN-SEASON",Assumptions!$B$48,Assumptions!$B$49)*Assumptions!$B$50/1000</f>
        <v/>
      </c>
      <c r="X23" s="15">
        <f>'User Growth'!X17*IF('User Growth'!X2="IN-SEASON",Assumptions!$B$48,Assumptions!$B$49)*Assumptions!$B$50/1000</f>
        <v/>
      </c>
      <c r="Y23" s="15">
        <f>'User Growth'!Y17*IF('User Growth'!Y2="IN-SEASON",Assumptions!$B$48,Assumptions!$B$49)*Assumptions!$B$50/1000</f>
        <v/>
      </c>
    </row>
    <row r="24">
      <c r="A24" s="3" t="inlineStr">
        <is>
          <t xml:space="preserve">  Ad Revenue</t>
        </is>
      </c>
      <c r="B24" s="15">
        <f>B23*Assumptions!$B$47</f>
        <v/>
      </c>
      <c r="C24" s="15">
        <f>C23*Assumptions!$B$47</f>
        <v/>
      </c>
      <c r="D24" s="15">
        <f>D23*Assumptions!$B$47</f>
        <v/>
      </c>
      <c r="E24" s="15">
        <f>E23*Assumptions!$B$47</f>
        <v/>
      </c>
      <c r="F24" s="15">
        <f>F23*Assumptions!$B$47</f>
        <v/>
      </c>
      <c r="G24" s="15">
        <f>G23*Assumptions!$B$47</f>
        <v/>
      </c>
      <c r="H24" s="15">
        <f>H23*Assumptions!$B$47</f>
        <v/>
      </c>
      <c r="I24" s="15">
        <f>I23*Assumptions!$B$47</f>
        <v/>
      </c>
      <c r="J24" s="15">
        <f>J23*Assumptions!$B$47</f>
        <v/>
      </c>
      <c r="K24" s="15">
        <f>K23*Assumptions!$B$47</f>
        <v/>
      </c>
      <c r="L24" s="15">
        <f>L23*Assumptions!$B$47</f>
        <v/>
      </c>
      <c r="M24" s="15">
        <f>M23*Assumptions!$B$47</f>
        <v/>
      </c>
      <c r="N24" s="15">
        <f>N23*Assumptions!$B$47</f>
        <v/>
      </c>
      <c r="O24" s="15">
        <f>O23*Assumptions!$B$47</f>
        <v/>
      </c>
      <c r="P24" s="15">
        <f>P23*Assumptions!$B$47</f>
        <v/>
      </c>
      <c r="Q24" s="15">
        <f>Q23*Assumptions!$B$47</f>
        <v/>
      </c>
      <c r="R24" s="15">
        <f>R23*Assumptions!$B$47</f>
        <v/>
      </c>
      <c r="S24" s="15">
        <f>S23*Assumptions!$B$47</f>
        <v/>
      </c>
      <c r="T24" s="15">
        <f>T23*Assumptions!$B$47</f>
        <v/>
      </c>
      <c r="U24" s="15">
        <f>U23*Assumptions!$B$47</f>
        <v/>
      </c>
      <c r="V24" s="15">
        <f>V23*Assumptions!$B$47</f>
        <v/>
      </c>
      <c r="W24" s="15">
        <f>W23*Assumptions!$B$47</f>
        <v/>
      </c>
      <c r="X24" s="15">
        <f>X23*Assumptions!$B$47</f>
        <v/>
      </c>
      <c r="Y24" s="15">
        <f>Y23*Assumptions!$B$47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B9*Assumptions!$B$69*Assumptions!$B$67*Assumptions!$B$63</f>
        <v/>
      </c>
      <c r="C30" s="15">
        <f>C9*Assumptions!$B$69*Assumptions!$B$67*Assumptions!$B$63</f>
        <v/>
      </c>
      <c r="D30" s="15">
        <f>D9*Assumptions!$B$69*Assumptions!$B$67*Assumptions!$B$63</f>
        <v/>
      </c>
      <c r="E30" s="15">
        <f>E9*Assumptions!$B$69*Assumptions!$B$67*Assumptions!$B$63</f>
        <v/>
      </c>
      <c r="F30" s="15">
        <f>F9*Assumptions!$B$69*Assumptions!$B$67*Assumptions!$B$63</f>
        <v/>
      </c>
      <c r="G30" s="15">
        <f>G9*Assumptions!$B$69*Assumptions!$B$67*Assumptions!$B$63</f>
        <v/>
      </c>
      <c r="H30" s="15">
        <f>H9*Assumptions!$B$69*Assumptions!$B$67*Assumptions!$B$63</f>
        <v/>
      </c>
      <c r="I30" s="15">
        <f>I9*Assumptions!$B$69*Assumptions!$B$67*Assumptions!$B$63</f>
        <v/>
      </c>
      <c r="J30" s="15">
        <f>J9*Assumptions!$B$69*Assumptions!$B$67*Assumptions!$B$63</f>
        <v/>
      </c>
      <c r="K30" s="15">
        <f>K9*Assumptions!$B$69*Assumptions!$B$67*Assumptions!$B$63</f>
        <v/>
      </c>
      <c r="L30" s="15">
        <f>L9*Assumptions!$B$69*Assumptions!$B$67*Assumptions!$B$63</f>
        <v/>
      </c>
      <c r="M30" s="15">
        <f>M9*Assumptions!$B$69*Assumptions!$B$67*Assumptions!$B$63</f>
        <v/>
      </c>
      <c r="N30" s="15">
        <f>N9*Assumptions!$B$69*Assumptions!$B$67*Assumptions!$B$63</f>
        <v/>
      </c>
      <c r="O30" s="15">
        <f>O9*Assumptions!$B$69*Assumptions!$B$67*Assumptions!$B$63</f>
        <v/>
      </c>
      <c r="P30" s="15">
        <f>P9*Assumptions!$B$69*Assumptions!$B$67*Assumptions!$B$63</f>
        <v/>
      </c>
      <c r="Q30" s="15">
        <f>Q9*Assumptions!$B$69*Assumptions!$B$67*Assumptions!$B$63</f>
        <v/>
      </c>
      <c r="R30" s="15">
        <f>R9*Assumptions!$B$69*Assumptions!$B$67*Assumptions!$B$63</f>
        <v/>
      </c>
      <c r="S30" s="15">
        <f>S9*Assumptions!$B$69*Assumptions!$B$67*Assumptions!$B$63</f>
        <v/>
      </c>
      <c r="T30" s="15">
        <f>T9*Assumptions!$B$69*Assumptions!$B$67*Assumptions!$B$63</f>
        <v/>
      </c>
      <c r="U30" s="15">
        <f>U9*Assumptions!$B$69*Assumptions!$B$67*Assumptions!$B$63</f>
        <v/>
      </c>
      <c r="V30" s="15">
        <f>V9*Assumptions!$B$69*Assumptions!$B$67*Assumptions!$B$63</f>
        <v/>
      </c>
      <c r="W30" s="15">
        <f>W9*Assumptions!$B$69*Assumptions!$B$67*Assumptions!$B$63</f>
        <v/>
      </c>
      <c r="X30" s="15">
        <f>X9*Assumptions!$B$69*Assumptions!$B$67*Assumptions!$B$63</f>
        <v/>
      </c>
      <c r="Y30" s="15">
        <f>Y9*Assumptions!$B$69*Assumptions!$B$67*Assumptions!$B$63</f>
        <v/>
      </c>
    </row>
    <row r="31">
      <c r="A31" s="3" t="inlineStr">
        <is>
          <t xml:space="preserve">  Google Play (15%)</t>
        </is>
      </c>
      <c r="B31" s="15">
        <f>B9*Assumptions!$B$69*Assumptions!$B$68*Assumptions!$B$64</f>
        <v/>
      </c>
      <c r="C31" s="15">
        <f>C9*Assumptions!$B$69*Assumptions!$B$68*Assumptions!$B$64</f>
        <v/>
      </c>
      <c r="D31" s="15">
        <f>D9*Assumptions!$B$69*Assumptions!$B$68*Assumptions!$B$64</f>
        <v/>
      </c>
      <c r="E31" s="15">
        <f>E9*Assumptions!$B$69*Assumptions!$B$68*Assumptions!$B$64</f>
        <v/>
      </c>
      <c r="F31" s="15">
        <f>F9*Assumptions!$B$69*Assumptions!$B$68*Assumptions!$B$64</f>
        <v/>
      </c>
      <c r="G31" s="15">
        <f>G9*Assumptions!$B$69*Assumptions!$B$68*Assumptions!$B$64</f>
        <v/>
      </c>
      <c r="H31" s="15">
        <f>H9*Assumptions!$B$69*Assumptions!$B$68*Assumptions!$B$64</f>
        <v/>
      </c>
      <c r="I31" s="15">
        <f>I9*Assumptions!$B$69*Assumptions!$B$68*Assumptions!$B$64</f>
        <v/>
      </c>
      <c r="J31" s="15">
        <f>J9*Assumptions!$B$69*Assumptions!$B$68*Assumptions!$B$64</f>
        <v/>
      </c>
      <c r="K31" s="15">
        <f>K9*Assumptions!$B$69*Assumptions!$B$68*Assumptions!$B$64</f>
        <v/>
      </c>
      <c r="L31" s="15">
        <f>L9*Assumptions!$B$69*Assumptions!$B$68*Assumptions!$B$64</f>
        <v/>
      </c>
      <c r="M31" s="15">
        <f>M9*Assumptions!$B$69*Assumptions!$B$68*Assumptions!$B$64</f>
        <v/>
      </c>
      <c r="N31" s="15">
        <f>N9*Assumptions!$B$69*Assumptions!$B$68*Assumptions!$B$64</f>
        <v/>
      </c>
      <c r="O31" s="15">
        <f>O9*Assumptions!$B$69*Assumptions!$B$68*Assumptions!$B$64</f>
        <v/>
      </c>
      <c r="P31" s="15">
        <f>P9*Assumptions!$B$69*Assumptions!$B$68*Assumptions!$B$64</f>
        <v/>
      </c>
      <c r="Q31" s="15">
        <f>Q9*Assumptions!$B$69*Assumptions!$B$68*Assumptions!$B$64</f>
        <v/>
      </c>
      <c r="R31" s="15">
        <f>R9*Assumptions!$B$69*Assumptions!$B$68*Assumptions!$B$64</f>
        <v/>
      </c>
      <c r="S31" s="15">
        <f>S9*Assumptions!$B$69*Assumptions!$B$68*Assumptions!$B$64</f>
        <v/>
      </c>
      <c r="T31" s="15">
        <f>T9*Assumptions!$B$69*Assumptions!$B$68*Assumptions!$B$64</f>
        <v/>
      </c>
      <c r="U31" s="15">
        <f>U9*Assumptions!$B$69*Assumptions!$B$68*Assumptions!$B$64</f>
        <v/>
      </c>
      <c r="V31" s="15">
        <f>V9*Assumptions!$B$69*Assumptions!$B$68*Assumptions!$B$64</f>
        <v/>
      </c>
      <c r="W31" s="15">
        <f>W9*Assumptions!$B$69*Assumptions!$B$68*Assumptions!$B$64</f>
        <v/>
      </c>
      <c r="X31" s="15">
        <f>X9*Assumptions!$B$69*Assumptions!$B$68*Assumptions!$B$64</f>
        <v/>
      </c>
      <c r="Y31" s="15">
        <f>Y9*Assumptions!$B$69*Assumptions!$B$68*Assumptions!$B$64</f>
        <v/>
      </c>
    </row>
    <row r="32">
      <c r="A32" s="3" t="inlineStr">
        <is>
          <t xml:space="preserve">  Stripe Processing</t>
        </is>
      </c>
      <c r="B32" s="15">
        <f>IF((B9*(1-Assumptions!$B$69)+B15+B20)&gt;0,(B9*(1-Assumptions!$B$69)+B15+B20)*Assumptions!$B$65+MAX(1,('User Growth'!B18+'User Growth'!B19)*0.3+'User Growth'!B17*Assumptions!$B$34+('User Growth'!B18+'User Growth'!B19)*Assumptions!$B$35)*Assumptions!$B$66,0)</f>
        <v/>
      </c>
      <c r="C32" s="15">
        <f>IF((C9*(1-Assumptions!$B$69)+C15+C20)&gt;0,(C9*(1-Assumptions!$B$69)+C15+C20)*Assumptions!$B$65+MAX(1,('User Growth'!C18+'User Growth'!C19)*0.3+'User Growth'!C17*Assumptions!$B$34+('User Growth'!C18+'User Growth'!C19)*Assumptions!$B$35)*Assumptions!$B$66,0)</f>
        <v/>
      </c>
      <c r="D32" s="15">
        <f>IF((D9*(1-Assumptions!$B$69)+D15+D20)&gt;0,(D9*(1-Assumptions!$B$69)+D15+D20)*Assumptions!$B$65+MAX(1,('User Growth'!D18+'User Growth'!D19)*0.3+'User Growth'!D17*Assumptions!$B$34+('User Growth'!D18+'User Growth'!D19)*Assumptions!$B$35)*Assumptions!$B$66,0)</f>
        <v/>
      </c>
      <c r="E32" s="15">
        <f>IF((E9*(1-Assumptions!$B$69)+E15+E20)&gt;0,(E9*(1-Assumptions!$B$69)+E15+E20)*Assumptions!$B$65+MAX(1,('User Growth'!E18+'User Growth'!E19)*0.3+'User Growth'!E17*Assumptions!$B$34+('User Growth'!E18+'User Growth'!E19)*Assumptions!$B$35)*Assumptions!$B$66,0)</f>
        <v/>
      </c>
      <c r="F32" s="15">
        <f>IF((F9*(1-Assumptions!$B$69)+F15+F20)&gt;0,(F9*(1-Assumptions!$B$69)+F15+F20)*Assumptions!$B$65+MAX(1,('User Growth'!F18+'User Growth'!F19)*0.3+'User Growth'!F17*Assumptions!$B$34+('User Growth'!F18+'User Growth'!F19)*Assumptions!$B$35)*Assumptions!$B$66,0)</f>
        <v/>
      </c>
      <c r="G32" s="15">
        <f>IF((G9*(1-Assumptions!$B$69)+G15+G20)&gt;0,(G9*(1-Assumptions!$B$69)+G15+G20)*Assumptions!$B$65+MAX(1,('User Growth'!G18+'User Growth'!G19)*0.3+'User Growth'!G17*Assumptions!$B$34+('User Growth'!G18+'User Growth'!G19)*Assumptions!$B$35)*Assumptions!$B$66,0)</f>
        <v/>
      </c>
      <c r="H32" s="15">
        <f>IF((H9*(1-Assumptions!$B$69)+H15+H20)&gt;0,(H9*(1-Assumptions!$B$69)+H15+H20)*Assumptions!$B$65+MAX(1,('User Growth'!H18+'User Growth'!H19)*0.3+'User Growth'!H17*Assumptions!$B$34+('User Growth'!H18+'User Growth'!H19)*Assumptions!$B$35)*Assumptions!$B$66,0)</f>
        <v/>
      </c>
      <c r="I32" s="15">
        <f>IF((I9*(1-Assumptions!$B$69)+I15+I20)&gt;0,(I9*(1-Assumptions!$B$69)+I15+I20)*Assumptions!$B$65+MAX(1,('User Growth'!I18+'User Growth'!I19)*0.3+'User Growth'!I17*Assumptions!$B$34+('User Growth'!I18+'User Growth'!I19)*Assumptions!$B$35)*Assumptions!$B$66,0)</f>
        <v/>
      </c>
      <c r="J32" s="15">
        <f>IF((J9*(1-Assumptions!$B$69)+J15+J20)&gt;0,(J9*(1-Assumptions!$B$69)+J15+J20)*Assumptions!$B$65+MAX(1,('User Growth'!J18+'User Growth'!J19)*0.3+'User Growth'!J17*Assumptions!$B$34+('User Growth'!J18+'User Growth'!J19)*Assumptions!$B$35)*Assumptions!$B$66,0)</f>
        <v/>
      </c>
      <c r="K32" s="15">
        <f>IF((K9*(1-Assumptions!$B$69)+K15+K20)&gt;0,(K9*(1-Assumptions!$B$69)+K15+K20)*Assumptions!$B$65+MAX(1,('User Growth'!K18+'User Growth'!K19)*0.3+'User Growth'!K17*Assumptions!$B$34+('User Growth'!K18+'User Growth'!K19)*Assumptions!$B$35)*Assumptions!$B$66,0)</f>
        <v/>
      </c>
      <c r="L32" s="15">
        <f>IF((L9*(1-Assumptions!$B$69)+L15+L20)&gt;0,(L9*(1-Assumptions!$B$69)+L15+L20)*Assumptions!$B$65+MAX(1,('User Growth'!L18+'User Growth'!L19)*0.3+'User Growth'!L17*Assumptions!$B$34+('User Growth'!L18+'User Growth'!L19)*Assumptions!$B$35)*Assumptions!$B$66,0)</f>
        <v/>
      </c>
      <c r="M32" s="15">
        <f>IF((M9*(1-Assumptions!$B$69)+M15+M20)&gt;0,(M9*(1-Assumptions!$B$69)+M15+M20)*Assumptions!$B$65+MAX(1,('User Growth'!M18+'User Growth'!M19)*0.3+'User Growth'!M17*Assumptions!$B$34+('User Growth'!M18+'User Growth'!M19)*Assumptions!$B$35)*Assumptions!$B$66,0)</f>
        <v/>
      </c>
      <c r="N32" s="15">
        <f>IF((N9*(1-Assumptions!$B$69)+N15+N20)&gt;0,(N9*(1-Assumptions!$B$69)+N15+N20)*Assumptions!$B$65+MAX(1,('User Growth'!N18+'User Growth'!N19)*0.3+'User Growth'!N17*Assumptions!$B$34+('User Growth'!N18+'User Growth'!N19)*Assumptions!$B$35)*Assumptions!$B$66,0)</f>
        <v/>
      </c>
      <c r="O32" s="15">
        <f>IF((O9*(1-Assumptions!$B$69)+O15+O20)&gt;0,(O9*(1-Assumptions!$B$69)+O15+O20)*Assumptions!$B$65+MAX(1,('User Growth'!O18+'User Growth'!O19)*0.3+'User Growth'!O17*Assumptions!$B$34+('User Growth'!O18+'User Growth'!O19)*Assumptions!$B$35)*Assumptions!$B$66,0)</f>
        <v/>
      </c>
      <c r="P32" s="15">
        <f>IF((P9*(1-Assumptions!$B$69)+P15+P20)&gt;0,(P9*(1-Assumptions!$B$69)+P15+P20)*Assumptions!$B$65+MAX(1,('User Growth'!P18+'User Growth'!P19)*0.3+'User Growth'!P17*Assumptions!$B$34+('User Growth'!P18+'User Growth'!P19)*Assumptions!$B$35)*Assumptions!$B$66,0)</f>
        <v/>
      </c>
      <c r="Q32" s="15">
        <f>IF((Q9*(1-Assumptions!$B$69)+Q15+Q20)&gt;0,(Q9*(1-Assumptions!$B$69)+Q15+Q20)*Assumptions!$B$65+MAX(1,('User Growth'!Q18+'User Growth'!Q19)*0.3+'User Growth'!Q17*Assumptions!$B$34+('User Growth'!Q18+'User Growth'!Q19)*Assumptions!$B$35)*Assumptions!$B$66,0)</f>
        <v/>
      </c>
      <c r="R32" s="15">
        <f>IF((R9*(1-Assumptions!$B$69)+R15+R20)&gt;0,(R9*(1-Assumptions!$B$69)+R15+R20)*Assumptions!$B$65+MAX(1,('User Growth'!R18+'User Growth'!R19)*0.3+'User Growth'!R17*Assumptions!$B$34+('User Growth'!R18+'User Growth'!R19)*Assumptions!$B$35)*Assumptions!$B$66,0)</f>
        <v/>
      </c>
      <c r="S32" s="15">
        <f>IF((S9*(1-Assumptions!$B$69)+S15+S20)&gt;0,(S9*(1-Assumptions!$B$69)+S15+S20)*Assumptions!$B$65+MAX(1,('User Growth'!S18+'User Growth'!S19)*0.3+'User Growth'!S17*Assumptions!$B$34+('User Growth'!S18+'User Growth'!S19)*Assumptions!$B$35)*Assumptions!$B$66,0)</f>
        <v/>
      </c>
      <c r="T32" s="15">
        <f>IF((T9*(1-Assumptions!$B$69)+T15+T20)&gt;0,(T9*(1-Assumptions!$B$69)+T15+T20)*Assumptions!$B$65+MAX(1,('User Growth'!T18+'User Growth'!T19)*0.3+'User Growth'!T17*Assumptions!$B$34+('User Growth'!T18+'User Growth'!T19)*Assumptions!$B$35)*Assumptions!$B$66,0)</f>
        <v/>
      </c>
      <c r="U32" s="15">
        <f>IF((U9*(1-Assumptions!$B$69)+U15+U20)&gt;0,(U9*(1-Assumptions!$B$69)+U15+U20)*Assumptions!$B$65+MAX(1,('User Growth'!U18+'User Growth'!U19)*0.3+'User Growth'!U17*Assumptions!$B$34+('User Growth'!U18+'User Growth'!U19)*Assumptions!$B$35)*Assumptions!$B$66,0)</f>
        <v/>
      </c>
      <c r="V32" s="15">
        <f>IF((V9*(1-Assumptions!$B$69)+V15+V20)&gt;0,(V9*(1-Assumptions!$B$69)+V15+V20)*Assumptions!$B$65+MAX(1,('User Growth'!V18+'User Growth'!V19)*0.3+'User Growth'!V17*Assumptions!$B$34+('User Growth'!V18+'User Growth'!V19)*Assumptions!$B$35)*Assumptions!$B$66,0)</f>
        <v/>
      </c>
      <c r="W32" s="15">
        <f>IF((W9*(1-Assumptions!$B$69)+W15+W20)&gt;0,(W9*(1-Assumptions!$B$69)+W15+W20)*Assumptions!$B$65+MAX(1,('User Growth'!W18+'User Growth'!W19)*0.3+'User Growth'!W17*Assumptions!$B$34+('User Growth'!W18+'User Growth'!W19)*Assumptions!$B$35)*Assumptions!$B$66,0)</f>
        <v/>
      </c>
      <c r="X32" s="15">
        <f>IF((X9*(1-Assumptions!$B$69)+X15+X20)&gt;0,(X9*(1-Assumptions!$B$69)+X15+X20)*Assumptions!$B$65+MAX(1,('User Growth'!X18+'User Growth'!X19)*0.3+'User Growth'!X17*Assumptions!$B$34+('User Growth'!X18+'User Growth'!X19)*Assumptions!$B$35)*Assumptions!$B$66,0)</f>
        <v/>
      </c>
      <c r="Y32" s="15">
        <f>IF((Y9*(1-Assumptions!$B$69)+Y15+Y20)&gt;0,(Y9*(1-Assumptions!$B$69)+Y15+Y20)*Assumptions!$B$65+MAX(1,('User Growth'!Y18+'User Growth'!Y19)*0.3+'User Growth'!Y17*Assumptions!$B$34+('User Growth'!Y18+'User Growth'!Y19)*Assumptions!$B$35)*Assumptions!$B$66,0)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Growth'!B20&gt;Assumptions!$B$55,Assumptions!$B$54,Assumptions!$B$53)</f>
        <v/>
      </c>
      <c r="C3" s="15">
        <f>IF('User Growth'!C20&gt;Assumptions!$B$55,Assumptions!$B$54,Assumptions!$B$53)</f>
        <v/>
      </c>
      <c r="D3" s="15">
        <f>IF('User Growth'!D20&gt;Assumptions!$B$55,Assumptions!$B$54,Assumptions!$B$53)</f>
        <v/>
      </c>
      <c r="E3" s="15">
        <f>IF('User Growth'!E20&gt;Assumptions!$B$55,Assumptions!$B$54,Assumptions!$B$53)</f>
        <v/>
      </c>
      <c r="F3" s="15">
        <f>IF('User Growth'!F20&gt;Assumptions!$B$55,Assumptions!$B$54,Assumptions!$B$53)</f>
        <v/>
      </c>
      <c r="G3" s="15">
        <f>IF('User Growth'!G20&gt;Assumptions!$B$55,Assumptions!$B$54,Assumptions!$B$53)</f>
        <v/>
      </c>
      <c r="H3" s="15">
        <f>IF('User Growth'!H20&gt;Assumptions!$B$55,Assumptions!$B$54,Assumptions!$B$53)</f>
        <v/>
      </c>
      <c r="I3" s="15">
        <f>IF('User Growth'!I20&gt;Assumptions!$B$55,Assumptions!$B$54,Assumptions!$B$53)</f>
        <v/>
      </c>
      <c r="J3" s="15">
        <f>IF('User Growth'!J20&gt;Assumptions!$B$55,Assumptions!$B$54,Assumptions!$B$53)</f>
        <v/>
      </c>
      <c r="K3" s="15">
        <f>IF('User Growth'!K20&gt;Assumptions!$B$55,Assumptions!$B$54,Assumptions!$B$53)</f>
        <v/>
      </c>
      <c r="L3" s="15">
        <f>IF('User Growth'!L20&gt;Assumptions!$B$55,Assumptions!$B$54,Assumptions!$B$53)</f>
        <v/>
      </c>
      <c r="M3" s="15">
        <f>IF('User Growth'!M20&gt;Assumptions!$B$55,Assumptions!$B$54,Assumptions!$B$53)</f>
        <v/>
      </c>
      <c r="N3" s="15">
        <f>IF('User Growth'!N20&gt;Assumptions!$B$55,Assumptions!$B$54,Assumptions!$B$53)</f>
        <v/>
      </c>
      <c r="O3" s="15">
        <f>IF('User Growth'!O20&gt;Assumptions!$B$55,Assumptions!$B$54,Assumptions!$B$53)</f>
        <v/>
      </c>
      <c r="P3" s="15">
        <f>IF('User Growth'!P20&gt;Assumptions!$B$55,Assumptions!$B$54,Assumptions!$B$53)</f>
        <v/>
      </c>
      <c r="Q3" s="15">
        <f>IF('User Growth'!Q20&gt;Assumptions!$B$55,Assumptions!$B$54,Assumptions!$B$53)</f>
        <v/>
      </c>
      <c r="R3" s="15">
        <f>IF('User Growth'!R20&gt;Assumptions!$B$55,Assumptions!$B$54,Assumptions!$B$53)</f>
        <v/>
      </c>
      <c r="S3" s="15">
        <f>IF('User Growth'!S20&gt;Assumptions!$B$55,Assumptions!$B$54,Assumptions!$B$53)</f>
        <v/>
      </c>
      <c r="T3" s="15">
        <f>IF('User Growth'!T20&gt;Assumptions!$B$55,Assumptions!$B$54,Assumptions!$B$53)</f>
        <v/>
      </c>
      <c r="U3" s="15">
        <f>IF('User Growth'!U20&gt;Assumptions!$B$55,Assumptions!$B$54,Assumptions!$B$53)</f>
        <v/>
      </c>
      <c r="V3" s="15">
        <f>IF('User Growth'!V20&gt;Assumptions!$B$55,Assumptions!$B$54,Assumptions!$B$53)</f>
        <v/>
      </c>
      <c r="W3" s="15">
        <f>IF('User Growth'!W20&gt;Assumptions!$B$55,Assumptions!$B$54,Assumptions!$B$53)</f>
        <v/>
      </c>
      <c r="X3" s="15">
        <f>IF('User Growth'!X20&gt;Assumptions!$B$55,Assumptions!$B$54,Assumptions!$B$53)</f>
        <v/>
      </c>
      <c r="Y3" s="15">
        <f>IF('User Growth'!Y20&gt;Assumptions!$B$55,Assumptions!$B$54,Assumptions!$B$53)</f>
        <v/>
      </c>
    </row>
    <row r="4">
      <c r="A4" s="3" t="inlineStr">
        <is>
          <t xml:space="preserve">  Firebase Hosting</t>
        </is>
      </c>
      <c r="B4" s="19">
        <f>Assumptions!$B$56+MAX(0,'User Growth'!B20-1000)*Assumptions!$B$57</f>
        <v/>
      </c>
      <c r="C4" s="19">
        <f>Assumptions!$B$56+MAX(0,'User Growth'!C20-1000)*Assumptions!$B$57</f>
        <v/>
      </c>
      <c r="D4" s="19">
        <f>Assumptions!$B$56+MAX(0,'User Growth'!D20-1000)*Assumptions!$B$57</f>
        <v/>
      </c>
      <c r="E4" s="19">
        <f>Assumptions!$B$56+MAX(0,'User Growth'!E20-1000)*Assumptions!$B$57</f>
        <v/>
      </c>
      <c r="F4" s="19">
        <f>Assumptions!$B$56+MAX(0,'User Growth'!F20-1000)*Assumptions!$B$57</f>
        <v/>
      </c>
      <c r="G4" s="19">
        <f>Assumptions!$B$56+MAX(0,'User Growth'!G20-1000)*Assumptions!$B$57</f>
        <v/>
      </c>
      <c r="H4" s="19">
        <f>Assumptions!$B$56+MAX(0,'User Growth'!H20-1000)*Assumptions!$B$57</f>
        <v/>
      </c>
      <c r="I4" s="19">
        <f>Assumptions!$B$56+MAX(0,'User Growth'!I20-1000)*Assumptions!$B$57</f>
        <v/>
      </c>
      <c r="J4" s="19">
        <f>Assumptions!$B$56+MAX(0,'User Growth'!J20-1000)*Assumptions!$B$57</f>
        <v/>
      </c>
      <c r="K4" s="19">
        <f>Assumptions!$B$56+MAX(0,'User Growth'!K20-1000)*Assumptions!$B$57</f>
        <v/>
      </c>
      <c r="L4" s="19">
        <f>Assumptions!$B$56+MAX(0,'User Growth'!L20-1000)*Assumptions!$B$57</f>
        <v/>
      </c>
      <c r="M4" s="19">
        <f>Assumptions!$B$56+MAX(0,'User Growth'!M20-1000)*Assumptions!$B$57</f>
        <v/>
      </c>
      <c r="N4" s="19">
        <f>Assumptions!$B$56+MAX(0,'User Growth'!N20-1000)*Assumptions!$B$57</f>
        <v/>
      </c>
      <c r="O4" s="19">
        <f>Assumptions!$B$56+MAX(0,'User Growth'!O20-1000)*Assumptions!$B$57</f>
        <v/>
      </c>
      <c r="P4" s="19">
        <f>Assumptions!$B$56+MAX(0,'User Growth'!P20-1000)*Assumptions!$B$57</f>
        <v/>
      </c>
      <c r="Q4" s="19">
        <f>Assumptions!$B$56+MAX(0,'User Growth'!Q20-1000)*Assumptions!$B$57</f>
        <v/>
      </c>
      <c r="R4" s="19">
        <f>Assumptions!$B$56+MAX(0,'User Growth'!R20-1000)*Assumptions!$B$57</f>
        <v/>
      </c>
      <c r="S4" s="19">
        <f>Assumptions!$B$56+MAX(0,'User Growth'!S20-1000)*Assumptions!$B$57</f>
        <v/>
      </c>
      <c r="T4" s="19">
        <f>Assumptions!$B$56+MAX(0,'User Growth'!T20-1000)*Assumptions!$B$57</f>
        <v/>
      </c>
      <c r="U4" s="19">
        <f>Assumptions!$B$56+MAX(0,'User Growth'!U20-1000)*Assumptions!$B$57</f>
        <v/>
      </c>
      <c r="V4" s="19">
        <f>Assumptions!$B$56+MAX(0,'User Growth'!V20-1000)*Assumptions!$B$57</f>
        <v/>
      </c>
      <c r="W4" s="19">
        <f>Assumptions!$B$56+MAX(0,'User Growth'!W20-1000)*Assumptions!$B$57</f>
        <v/>
      </c>
      <c r="X4" s="19">
        <f>Assumptions!$B$56+MAX(0,'User Growth'!X20-1000)*Assumptions!$B$57</f>
        <v/>
      </c>
      <c r="Y4" s="19">
        <f>Assumptions!$B$56+MAX(0,'User Growth'!Y20-1000)*Assumptions!$B$57</f>
        <v/>
      </c>
    </row>
    <row r="5">
      <c r="A5" s="3" t="inlineStr">
        <is>
          <t xml:space="preserve">  Claude API (Stormy AI)</t>
        </is>
      </c>
      <c r="B5" s="19">
        <f>('User Growth'!B17*Assumptions!$B$27+'User Growth'!B18*Assumptions!$B$28+'User Growth'!B19*Assumptions!$B$29)/1000000*Assumptions!$B$58</f>
        <v/>
      </c>
      <c r="C5" s="19">
        <f>('User Growth'!C17*Assumptions!$B$27+'User Growth'!C18*Assumptions!$B$28+'User Growth'!C19*Assumptions!$B$29)/1000000*Assumptions!$B$58</f>
        <v/>
      </c>
      <c r="D5" s="19">
        <f>('User Growth'!D17*Assumptions!$B$27+'User Growth'!D18*Assumptions!$B$28+'User Growth'!D19*Assumptions!$B$29)/1000000*Assumptions!$B$58</f>
        <v/>
      </c>
      <c r="E5" s="19">
        <f>('User Growth'!E17*Assumptions!$B$27+'User Growth'!E18*Assumptions!$B$28+'User Growth'!E19*Assumptions!$B$29)/1000000*Assumptions!$B$58</f>
        <v/>
      </c>
      <c r="F5" s="19">
        <f>('User Growth'!F17*Assumptions!$B$27+'User Growth'!F18*Assumptions!$B$28+'User Growth'!F19*Assumptions!$B$29)/1000000*Assumptions!$B$58</f>
        <v/>
      </c>
      <c r="G5" s="19">
        <f>('User Growth'!G17*Assumptions!$B$27+'User Growth'!G18*Assumptions!$B$28+'User Growth'!G19*Assumptions!$B$29)/1000000*Assumptions!$B$58</f>
        <v/>
      </c>
      <c r="H5" s="19">
        <f>('User Growth'!H17*Assumptions!$B$27+'User Growth'!H18*Assumptions!$B$28+'User Growth'!H19*Assumptions!$B$29)/1000000*Assumptions!$B$58</f>
        <v/>
      </c>
      <c r="I5" s="19">
        <f>('User Growth'!I17*Assumptions!$B$27+'User Growth'!I18*Assumptions!$B$28+'User Growth'!I19*Assumptions!$B$29)/1000000*Assumptions!$B$58</f>
        <v/>
      </c>
      <c r="J5" s="19">
        <f>('User Growth'!J17*Assumptions!$B$27+'User Growth'!J18*Assumptions!$B$28+'User Growth'!J19*Assumptions!$B$29)/1000000*Assumptions!$B$58</f>
        <v/>
      </c>
      <c r="K5" s="19">
        <f>('User Growth'!K17*Assumptions!$B$27+'User Growth'!K18*Assumptions!$B$28+'User Growth'!K19*Assumptions!$B$29)/1000000*Assumptions!$B$58</f>
        <v/>
      </c>
      <c r="L5" s="19">
        <f>('User Growth'!L17*Assumptions!$B$27+'User Growth'!L18*Assumptions!$B$28+'User Growth'!L19*Assumptions!$B$29)/1000000*Assumptions!$B$58</f>
        <v/>
      </c>
      <c r="M5" s="19">
        <f>('User Growth'!M17*Assumptions!$B$27+'User Growth'!M18*Assumptions!$B$28+'User Growth'!M19*Assumptions!$B$29)/1000000*Assumptions!$B$58</f>
        <v/>
      </c>
      <c r="N5" s="19">
        <f>('User Growth'!N17*Assumptions!$B$27+'User Growth'!N18*Assumptions!$B$28+'User Growth'!N19*Assumptions!$B$29)/1000000*Assumptions!$B$58</f>
        <v/>
      </c>
      <c r="O5" s="19">
        <f>('User Growth'!O17*Assumptions!$B$27+'User Growth'!O18*Assumptions!$B$28+'User Growth'!O19*Assumptions!$B$29)/1000000*Assumptions!$B$58</f>
        <v/>
      </c>
      <c r="P5" s="19">
        <f>('User Growth'!P17*Assumptions!$B$27+'User Growth'!P18*Assumptions!$B$28+'User Growth'!P19*Assumptions!$B$29)/1000000*Assumptions!$B$58</f>
        <v/>
      </c>
      <c r="Q5" s="19">
        <f>('User Growth'!Q17*Assumptions!$B$27+'User Growth'!Q18*Assumptions!$B$28+'User Growth'!Q19*Assumptions!$B$29)/1000000*Assumptions!$B$58</f>
        <v/>
      </c>
      <c r="R5" s="19">
        <f>('User Growth'!R17*Assumptions!$B$27+'User Growth'!R18*Assumptions!$B$28+'User Growth'!R19*Assumptions!$B$29)/1000000*Assumptions!$B$58</f>
        <v/>
      </c>
      <c r="S5" s="19">
        <f>('User Growth'!S17*Assumptions!$B$27+'User Growth'!S18*Assumptions!$B$28+'User Growth'!S19*Assumptions!$B$29)/1000000*Assumptions!$B$58</f>
        <v/>
      </c>
      <c r="T5" s="19">
        <f>('User Growth'!T17*Assumptions!$B$27+'User Growth'!T18*Assumptions!$B$28+'User Growth'!T19*Assumptions!$B$29)/1000000*Assumptions!$B$58</f>
        <v/>
      </c>
      <c r="U5" s="19">
        <f>('User Growth'!U17*Assumptions!$B$27+'User Growth'!U18*Assumptions!$B$28+'User Growth'!U19*Assumptions!$B$29)/1000000*Assumptions!$B$58</f>
        <v/>
      </c>
      <c r="V5" s="19">
        <f>('User Growth'!V17*Assumptions!$B$27+'User Growth'!V18*Assumptions!$B$28+'User Growth'!V19*Assumptions!$B$29)/1000000*Assumptions!$B$58</f>
        <v/>
      </c>
      <c r="W5" s="19">
        <f>('User Growth'!W17*Assumptions!$B$27+'User Growth'!W18*Assumptions!$B$28+'User Growth'!W19*Assumptions!$B$29)/1000000*Assumptions!$B$58</f>
        <v/>
      </c>
      <c r="X5" s="19">
        <f>('User Growth'!X17*Assumptions!$B$27+'User Growth'!X18*Assumptions!$B$28+'User Growth'!X19*Assumptions!$B$29)/1000000*Assumptions!$B$58</f>
        <v/>
      </c>
      <c r="Y5" s="19">
        <f>('User Growth'!Y17*Assumptions!$B$27+'User Growth'!Y18*Assumptions!$B$28+'User Growth'!Y19*Assumptions!$B$29)/1000000*Assumptions!$B$58</f>
        <v/>
      </c>
    </row>
    <row r="6">
      <c r="A6" s="3" t="inlineStr">
        <is>
          <t xml:space="preserve">  Proxy Rotation (Data Pipeline)</t>
        </is>
      </c>
      <c r="B6" s="15">
        <f>Assumptions!$B$59</f>
        <v/>
      </c>
      <c r="C6" s="15">
        <f>Assumptions!$B$59</f>
        <v/>
      </c>
      <c r="D6" s="15">
        <f>Assumptions!$B$59</f>
        <v/>
      </c>
      <c r="E6" s="15">
        <f>Assumptions!$B$59</f>
        <v/>
      </c>
      <c r="F6" s="15">
        <f>Assumptions!$B$59</f>
        <v/>
      </c>
      <c r="G6" s="15">
        <f>Assumptions!$B$59</f>
        <v/>
      </c>
      <c r="H6" s="15">
        <f>Assumptions!$B$59</f>
        <v/>
      </c>
      <c r="I6" s="15">
        <f>Assumptions!$B$59</f>
        <v/>
      </c>
      <c r="J6" s="15">
        <f>Assumptions!$B$59</f>
        <v/>
      </c>
      <c r="K6" s="15">
        <f>Assumptions!$B$59</f>
        <v/>
      </c>
      <c r="L6" s="15">
        <f>Assumptions!$B$59</f>
        <v/>
      </c>
      <c r="M6" s="15">
        <f>Assumptions!$B$59</f>
        <v/>
      </c>
      <c r="N6" s="15">
        <f>Assumptions!$B$59</f>
        <v/>
      </c>
      <c r="O6" s="15">
        <f>Assumptions!$B$59</f>
        <v/>
      </c>
      <c r="P6" s="15">
        <f>Assumptions!$B$59</f>
        <v/>
      </c>
      <c r="Q6" s="15">
        <f>Assumptions!$B$59</f>
        <v/>
      </c>
      <c r="R6" s="15">
        <f>Assumptions!$B$59</f>
        <v/>
      </c>
      <c r="S6" s="15">
        <f>Assumptions!$B$59</f>
        <v/>
      </c>
      <c r="T6" s="15">
        <f>Assumptions!$B$59</f>
        <v/>
      </c>
      <c r="U6" s="15">
        <f>Assumptions!$B$59</f>
        <v/>
      </c>
      <c r="V6" s="15">
        <f>Assumptions!$B$59</f>
        <v/>
      </c>
      <c r="W6" s="15">
        <f>Assumptions!$B$59</f>
        <v/>
      </c>
      <c r="X6" s="15">
        <f>Assumptions!$B$59</f>
        <v/>
      </c>
      <c r="Y6" s="15">
        <f>Assumptions!$B$59</f>
        <v/>
      </c>
    </row>
    <row r="7">
      <c r="A7" s="3" t="inlineStr">
        <is>
          <t xml:space="preserve">  Domain / SSL / Misc</t>
        </is>
      </c>
      <c r="B7" s="15">
        <f>Assumptions!$B$60</f>
        <v/>
      </c>
      <c r="C7" s="15">
        <f>Assumptions!$B$60</f>
        <v/>
      </c>
      <c r="D7" s="15">
        <f>Assumptions!$B$60</f>
        <v/>
      </c>
      <c r="E7" s="15">
        <f>Assumptions!$B$60</f>
        <v/>
      </c>
      <c r="F7" s="15">
        <f>Assumptions!$B$60</f>
        <v/>
      </c>
      <c r="G7" s="15">
        <f>Assumptions!$B$60</f>
        <v/>
      </c>
      <c r="H7" s="15">
        <f>Assumptions!$B$60</f>
        <v/>
      </c>
      <c r="I7" s="15">
        <f>Assumptions!$B$60</f>
        <v/>
      </c>
      <c r="J7" s="15">
        <f>Assumptions!$B$60</f>
        <v/>
      </c>
      <c r="K7" s="15">
        <f>Assumptions!$B$60</f>
        <v/>
      </c>
      <c r="L7" s="15">
        <f>Assumptions!$B$60</f>
        <v/>
      </c>
      <c r="M7" s="15">
        <f>Assumptions!$B$60</f>
        <v/>
      </c>
      <c r="N7" s="15">
        <f>Assumptions!$B$60</f>
        <v/>
      </c>
      <c r="O7" s="15">
        <f>Assumptions!$B$60</f>
        <v/>
      </c>
      <c r="P7" s="15">
        <f>Assumptions!$B$60</f>
        <v/>
      </c>
      <c r="Q7" s="15">
        <f>Assumptions!$B$60</f>
        <v/>
      </c>
      <c r="R7" s="15">
        <f>Assumptions!$B$60</f>
        <v/>
      </c>
      <c r="S7" s="15">
        <f>Assumptions!$B$60</f>
        <v/>
      </c>
      <c r="T7" s="15">
        <f>Assumptions!$B$60</f>
        <v/>
      </c>
      <c r="U7" s="15">
        <f>Assumptions!$B$60</f>
        <v/>
      </c>
      <c r="V7" s="15">
        <f>Assumptions!$B$60</f>
        <v/>
      </c>
      <c r="W7" s="15">
        <f>Assumptions!$B$60</f>
        <v/>
      </c>
      <c r="X7" s="15">
        <f>Assumptions!$B$60</f>
        <v/>
      </c>
      <c r="Y7" s="15">
        <f>Assumptions!$B$60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IF(COLUMN()-2&gt;=Assumptions!$B$74,'User Growth'!B3*Assumptions!$B$75,0)</f>
        <v/>
      </c>
      <c r="C15" s="15">
        <f>IF(COLUMN()-2&gt;=Assumptions!$B$74,'User Growth'!C3*Assumptions!$B$75,0)</f>
        <v/>
      </c>
      <c r="D15" s="15">
        <f>IF(COLUMN()-2&gt;=Assumptions!$B$74,'User Growth'!D3*Assumptions!$B$75,0)</f>
        <v/>
      </c>
      <c r="E15" s="15">
        <f>IF(COLUMN()-2&gt;=Assumptions!$B$74,'User Growth'!E3*Assumptions!$B$75,0)</f>
        <v/>
      </c>
      <c r="F15" s="15">
        <f>IF(COLUMN()-2&gt;=Assumptions!$B$74,'User Growth'!F3*Assumptions!$B$75,0)</f>
        <v/>
      </c>
      <c r="G15" s="15">
        <f>IF(COLUMN()-2&gt;=Assumptions!$B$74,'User Growth'!G3*Assumptions!$B$75,0)</f>
        <v/>
      </c>
      <c r="H15" s="15">
        <f>IF(COLUMN()-2&gt;=Assumptions!$B$74,'User Growth'!H3*Assumptions!$B$75,0)</f>
        <v/>
      </c>
      <c r="I15" s="15">
        <f>IF(COLUMN()-2&gt;=Assumptions!$B$74,'User Growth'!I3*Assumptions!$B$75,0)</f>
        <v/>
      </c>
      <c r="J15" s="15">
        <f>IF(COLUMN()-2&gt;=Assumptions!$B$74,'User Growth'!J3*Assumptions!$B$75,0)</f>
        <v/>
      </c>
      <c r="K15" s="15">
        <f>IF(COLUMN()-2&gt;=Assumptions!$B$74,'User Growth'!K3*Assumptions!$B$75,0)</f>
        <v/>
      </c>
      <c r="L15" s="15">
        <f>IF(COLUMN()-2&gt;=Assumptions!$B$74,'User Growth'!L3*Assumptions!$B$75,0)</f>
        <v/>
      </c>
      <c r="M15" s="15">
        <f>IF(COLUMN()-2&gt;=Assumptions!$B$74,'User Growth'!M3*Assumptions!$B$75,0)</f>
        <v/>
      </c>
      <c r="N15" s="15">
        <f>IF(COLUMN()-2&gt;=Assumptions!$B$74,'User Growth'!N3*Assumptions!$B$75,0)</f>
        <v/>
      </c>
      <c r="O15" s="15">
        <f>IF(COLUMN()-2&gt;=Assumptions!$B$74,'User Growth'!O3*Assumptions!$B$75,0)</f>
        <v/>
      </c>
      <c r="P15" s="15">
        <f>IF(COLUMN()-2&gt;=Assumptions!$B$74,'User Growth'!P3*Assumptions!$B$75,0)</f>
        <v/>
      </c>
      <c r="Q15" s="15">
        <f>IF(COLUMN()-2&gt;=Assumptions!$B$74,'User Growth'!Q3*Assumptions!$B$75,0)</f>
        <v/>
      </c>
      <c r="R15" s="15">
        <f>IF(COLUMN()-2&gt;=Assumptions!$B$74,'User Growth'!R3*Assumptions!$B$75,0)</f>
        <v/>
      </c>
      <c r="S15" s="15">
        <f>IF(COLUMN()-2&gt;=Assumptions!$B$74,'User Growth'!S3*Assumptions!$B$75,0)</f>
        <v/>
      </c>
      <c r="T15" s="15">
        <f>IF(COLUMN()-2&gt;=Assumptions!$B$74,'User Growth'!T3*Assumptions!$B$75,0)</f>
        <v/>
      </c>
      <c r="U15" s="15">
        <f>IF(COLUMN()-2&gt;=Assumptions!$B$74,'User Growth'!U3*Assumptions!$B$75,0)</f>
        <v/>
      </c>
      <c r="V15" s="15">
        <f>IF(COLUMN()-2&gt;=Assumptions!$B$74,'User Growth'!V3*Assumptions!$B$75,0)</f>
        <v/>
      </c>
      <c r="W15" s="15">
        <f>IF(COLUMN()-2&gt;=Assumptions!$B$74,'User Growth'!W3*Assumptions!$B$75,0)</f>
        <v/>
      </c>
      <c r="X15" s="15">
        <f>IF(COLUMN()-2&gt;=Assumptions!$B$74,'User Growth'!X3*Assumptions!$B$75,0)</f>
        <v/>
      </c>
      <c r="Y15" s="15">
        <f>IF(COLUMN()-2&gt;=Assumptions!$B$74,'User Growth'!Y3*Assumptions!$B$75,0)</f>
        <v/>
      </c>
    </row>
    <row r="16">
      <c r="A16" s="3" t="inlineStr">
        <is>
          <t xml:space="preserve">    Influencer / Content Marketing</t>
        </is>
      </c>
      <c r="B16" s="15">
        <f>Assumptions!$B$78</f>
        <v/>
      </c>
      <c r="C16" s="15">
        <f>Assumptions!$B$79</f>
        <v/>
      </c>
      <c r="D16" s="15">
        <f>Assumptions!$B$80</f>
        <v/>
      </c>
      <c r="E16" s="15">
        <f>Assumptions!$B$81</f>
        <v/>
      </c>
      <c r="F16" s="15">
        <f>Assumptions!$B$82</f>
        <v/>
      </c>
      <c r="G16" s="15">
        <f>Assumptions!$B$83</f>
        <v/>
      </c>
      <c r="H16" s="15">
        <f>Assumptions!$B$84</f>
        <v/>
      </c>
      <c r="I16" s="15">
        <f>Assumptions!$B$85</f>
        <v/>
      </c>
      <c r="J16" s="15">
        <f>Assumptions!$B$86</f>
        <v/>
      </c>
      <c r="K16" s="15">
        <f>Assumptions!$B$87</f>
        <v/>
      </c>
      <c r="L16" s="15">
        <f>Assumptions!$B$88</f>
        <v/>
      </c>
      <c r="M16" s="15">
        <f>Assumptions!$B$89</f>
        <v/>
      </c>
      <c r="N16" s="15">
        <f>Assumptions!$B$90</f>
        <v/>
      </c>
      <c r="O16" s="15">
        <f>Assumptions!$B$91</f>
        <v/>
      </c>
      <c r="P16" s="15">
        <f>Assumptions!$B$92</f>
        <v/>
      </c>
      <c r="Q16" s="15">
        <f>Assumptions!$B$93</f>
        <v/>
      </c>
      <c r="R16" s="15">
        <f>Assumptions!$B$94</f>
        <v/>
      </c>
      <c r="S16" s="15">
        <f>Assumptions!$B$95</f>
        <v/>
      </c>
      <c r="T16" s="15">
        <f>Assumptions!$B$96</f>
        <v/>
      </c>
      <c r="U16" s="15">
        <f>Assumptions!$B$97</f>
        <v/>
      </c>
      <c r="V16" s="15">
        <f>Assumptions!$B$98</f>
        <v/>
      </c>
      <c r="W16" s="15">
        <f>Assumptions!$B$99</f>
        <v/>
      </c>
      <c r="X16" s="15">
        <f>Assumptions!$B$100</f>
        <v/>
      </c>
      <c r="Y16" s="15">
        <f>Assumptions!$B$101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IF(COLUMN()-2&lt;6,Assumptions!$B$104,IF(COLUMN()-2&lt;12,Assumptions!$B$105,IF(COLUMN()-2&lt;18,Assumptions!$B$106,Assumptions!$B$107)))</f>
        <v/>
      </c>
      <c r="C20" s="15">
        <f>IF(COLUMN()-2&lt;6,Assumptions!$B$104,IF(COLUMN()-2&lt;12,Assumptions!$B$105,IF(COLUMN()-2&lt;18,Assumptions!$B$106,Assumptions!$B$107)))</f>
        <v/>
      </c>
      <c r="D20" s="15">
        <f>IF(COLUMN()-2&lt;6,Assumptions!$B$104,IF(COLUMN()-2&lt;12,Assumptions!$B$105,IF(COLUMN()-2&lt;18,Assumptions!$B$106,Assumptions!$B$107)))</f>
        <v/>
      </c>
      <c r="E20" s="15">
        <f>IF(COLUMN()-2&lt;6,Assumptions!$B$104,IF(COLUMN()-2&lt;12,Assumptions!$B$105,IF(COLUMN()-2&lt;18,Assumptions!$B$106,Assumptions!$B$107)))</f>
        <v/>
      </c>
      <c r="F20" s="15">
        <f>IF(COLUMN()-2&lt;6,Assumptions!$B$104,IF(COLUMN()-2&lt;12,Assumptions!$B$105,IF(COLUMN()-2&lt;18,Assumptions!$B$106,Assumptions!$B$107)))</f>
        <v/>
      </c>
      <c r="G20" s="15">
        <f>IF(COLUMN()-2&lt;6,Assumptions!$B$104,IF(COLUMN()-2&lt;12,Assumptions!$B$105,IF(COLUMN()-2&lt;18,Assumptions!$B$106,Assumptions!$B$107)))</f>
        <v/>
      </c>
      <c r="H20" s="15">
        <f>IF(COLUMN()-2&lt;6,Assumptions!$B$104,IF(COLUMN()-2&lt;12,Assumptions!$B$105,IF(COLUMN()-2&lt;18,Assumptions!$B$106,Assumptions!$B$107)))</f>
        <v/>
      </c>
      <c r="I20" s="15">
        <f>IF(COLUMN()-2&lt;6,Assumptions!$B$104,IF(COLUMN()-2&lt;12,Assumptions!$B$105,IF(COLUMN()-2&lt;18,Assumptions!$B$106,Assumptions!$B$107)))</f>
        <v/>
      </c>
      <c r="J20" s="15">
        <f>IF(COLUMN()-2&lt;6,Assumptions!$B$104,IF(COLUMN()-2&lt;12,Assumptions!$B$105,IF(COLUMN()-2&lt;18,Assumptions!$B$106,Assumptions!$B$107)))</f>
        <v/>
      </c>
      <c r="K20" s="15">
        <f>IF(COLUMN()-2&lt;6,Assumptions!$B$104,IF(COLUMN()-2&lt;12,Assumptions!$B$105,IF(COLUMN()-2&lt;18,Assumptions!$B$106,Assumptions!$B$107)))</f>
        <v/>
      </c>
      <c r="L20" s="15">
        <f>IF(COLUMN()-2&lt;6,Assumptions!$B$104,IF(COLUMN()-2&lt;12,Assumptions!$B$105,IF(COLUMN()-2&lt;18,Assumptions!$B$106,Assumptions!$B$107)))</f>
        <v/>
      </c>
      <c r="M20" s="15">
        <f>IF(COLUMN()-2&lt;6,Assumptions!$B$104,IF(COLUMN()-2&lt;12,Assumptions!$B$105,IF(COLUMN()-2&lt;18,Assumptions!$B$106,Assumptions!$B$107)))</f>
        <v/>
      </c>
      <c r="N20" s="15">
        <f>IF(COLUMN()-2&lt;6,Assumptions!$B$104,IF(COLUMN()-2&lt;12,Assumptions!$B$105,IF(COLUMN()-2&lt;18,Assumptions!$B$106,Assumptions!$B$107)))</f>
        <v/>
      </c>
      <c r="O20" s="15">
        <f>IF(COLUMN()-2&lt;6,Assumptions!$B$104,IF(COLUMN()-2&lt;12,Assumptions!$B$105,IF(COLUMN()-2&lt;18,Assumptions!$B$106,Assumptions!$B$107)))</f>
        <v/>
      </c>
      <c r="P20" s="15">
        <f>IF(COLUMN()-2&lt;6,Assumptions!$B$104,IF(COLUMN()-2&lt;12,Assumptions!$B$105,IF(COLUMN()-2&lt;18,Assumptions!$B$106,Assumptions!$B$107)))</f>
        <v/>
      </c>
      <c r="Q20" s="15">
        <f>IF(COLUMN()-2&lt;6,Assumptions!$B$104,IF(COLUMN()-2&lt;12,Assumptions!$B$105,IF(COLUMN()-2&lt;18,Assumptions!$B$106,Assumptions!$B$107)))</f>
        <v/>
      </c>
      <c r="R20" s="15">
        <f>IF(COLUMN()-2&lt;6,Assumptions!$B$104,IF(COLUMN()-2&lt;12,Assumptions!$B$105,IF(COLUMN()-2&lt;18,Assumptions!$B$106,Assumptions!$B$107)))</f>
        <v/>
      </c>
      <c r="S20" s="15">
        <f>IF(COLUMN()-2&lt;6,Assumptions!$B$104,IF(COLUMN()-2&lt;12,Assumptions!$B$105,IF(COLUMN()-2&lt;18,Assumptions!$B$106,Assumptions!$B$107)))</f>
        <v/>
      </c>
      <c r="T20" s="15">
        <f>IF(COLUMN()-2&lt;6,Assumptions!$B$104,IF(COLUMN()-2&lt;12,Assumptions!$B$105,IF(COLUMN()-2&lt;18,Assumptions!$B$106,Assumptions!$B$107)))</f>
        <v/>
      </c>
      <c r="U20" s="15">
        <f>IF(COLUMN()-2&lt;6,Assumptions!$B$104,IF(COLUMN()-2&lt;12,Assumptions!$B$105,IF(COLUMN()-2&lt;18,Assumptions!$B$106,Assumptions!$B$107)))</f>
        <v/>
      </c>
      <c r="V20" s="15">
        <f>IF(COLUMN()-2&lt;6,Assumptions!$B$104,IF(COLUMN()-2&lt;12,Assumptions!$B$105,IF(COLUMN()-2&lt;18,Assumptions!$B$106,Assumptions!$B$107)))</f>
        <v/>
      </c>
      <c r="W20" s="15">
        <f>IF(COLUMN()-2&lt;6,Assumptions!$B$104,IF(COLUMN()-2&lt;12,Assumptions!$B$105,IF(COLUMN()-2&lt;18,Assumptions!$B$106,Assumptions!$B$107)))</f>
        <v/>
      </c>
      <c r="X20" s="15">
        <f>IF(COLUMN()-2&lt;6,Assumptions!$B$104,IF(COLUMN()-2&lt;12,Assumptions!$B$105,IF(COLUMN()-2&lt;18,Assumptions!$B$106,Assumptions!$B$107)))</f>
        <v/>
      </c>
      <c r="Y20" s="15">
        <f>IF(COLUMN()-2&lt;6,Assumptions!$B$104,IF(COLUMN()-2&lt;12,Assumptions!$B$105,IF(COLUMN()-2&lt;18,Assumptions!$B$106,Assumptions!$B$107)))</f>
        <v/>
      </c>
    </row>
    <row r="21">
      <c r="A21" s="3" t="inlineStr">
        <is>
          <t xml:space="preserve">    Legal &amp; Accounting (Basic)</t>
        </is>
      </c>
      <c r="B21" s="15">
        <f>IF(COLUMN()&lt;14,Assumptions!$B$110,Assumptions!$B$111)</f>
        <v/>
      </c>
      <c r="C21" s="15">
        <f>IF(COLUMN()&lt;14,Assumptions!$B$110,Assumptions!$B$111)</f>
        <v/>
      </c>
      <c r="D21" s="15">
        <f>IF(COLUMN()&lt;14,Assumptions!$B$110,Assumptions!$B$111)</f>
        <v/>
      </c>
      <c r="E21" s="15">
        <f>IF(COLUMN()&lt;14,Assumptions!$B$110,Assumptions!$B$111)</f>
        <v/>
      </c>
      <c r="F21" s="15">
        <f>IF(COLUMN()&lt;14,Assumptions!$B$110,Assumptions!$B$111)</f>
        <v/>
      </c>
      <c r="G21" s="15">
        <f>IF(COLUMN()&lt;14,Assumptions!$B$110,Assumptions!$B$111)</f>
        <v/>
      </c>
      <c r="H21" s="15">
        <f>IF(COLUMN()&lt;14,Assumptions!$B$110,Assumptions!$B$111)</f>
        <v/>
      </c>
      <c r="I21" s="15">
        <f>IF(COLUMN()&lt;14,Assumptions!$B$110,Assumptions!$B$111)</f>
        <v/>
      </c>
      <c r="J21" s="15">
        <f>IF(COLUMN()&lt;14,Assumptions!$B$110,Assumptions!$B$111)</f>
        <v/>
      </c>
      <c r="K21" s="15">
        <f>IF(COLUMN()&lt;14,Assumptions!$B$110,Assumptions!$B$111)</f>
        <v/>
      </c>
      <c r="L21" s="15">
        <f>IF(COLUMN()&lt;14,Assumptions!$B$110,Assumptions!$B$111)</f>
        <v/>
      </c>
      <c r="M21" s="15">
        <f>IF(COLUMN()&lt;14,Assumptions!$B$110,Assumptions!$B$111)</f>
        <v/>
      </c>
      <c r="N21" s="15">
        <f>IF(COLUMN()&lt;14,Assumptions!$B$110,Assumptions!$B$111)</f>
        <v/>
      </c>
      <c r="O21" s="15">
        <f>IF(COLUMN()&lt;14,Assumptions!$B$110,Assumptions!$B$111)</f>
        <v/>
      </c>
      <c r="P21" s="15">
        <f>IF(COLUMN()&lt;14,Assumptions!$B$110,Assumptions!$B$111)</f>
        <v/>
      </c>
      <c r="Q21" s="15">
        <f>IF(COLUMN()&lt;14,Assumptions!$B$110,Assumptions!$B$111)</f>
        <v/>
      </c>
      <c r="R21" s="15">
        <f>IF(COLUMN()&lt;14,Assumptions!$B$110,Assumptions!$B$111)</f>
        <v/>
      </c>
      <c r="S21" s="15">
        <f>IF(COLUMN()&lt;14,Assumptions!$B$110,Assumptions!$B$111)</f>
        <v/>
      </c>
      <c r="T21" s="15">
        <f>IF(COLUMN()&lt;14,Assumptions!$B$110,Assumptions!$B$111)</f>
        <v/>
      </c>
      <c r="U21" s="15">
        <f>IF(COLUMN()&lt;14,Assumptions!$B$110,Assumptions!$B$111)</f>
        <v/>
      </c>
      <c r="V21" s="15">
        <f>IF(COLUMN()&lt;14,Assumptions!$B$110,Assumptions!$B$111)</f>
        <v/>
      </c>
      <c r="W21" s="15">
        <f>IF(COLUMN()&lt;14,Assumptions!$B$110,Assumptions!$B$111)</f>
        <v/>
      </c>
      <c r="X21" s="15">
        <f>IF(COLUMN()&lt;14,Assumptions!$B$110,Assumptions!$B$111)</f>
        <v/>
      </c>
      <c r="Y21" s="15">
        <f>IF(COLUMN()&lt;14,Assumptions!$B$110,Assumptions!$B$111)</f>
        <v/>
      </c>
    </row>
    <row r="22">
      <c r="A22" s="3" t="inlineStr">
        <is>
          <t xml:space="preserve">    DFS Regulatory / Licensing</t>
        </is>
      </c>
      <c r="B22" s="15">
        <f>IF('User Growth'!B20&gt;=Assumptions!$B$114,Assumptions!$B$115+Assumptions!$B$116+Assumptions!$B$117+Assumptions!$B$118,0)</f>
        <v/>
      </c>
      <c r="C22" s="15">
        <f>IF('User Growth'!C20&gt;=Assumptions!$B$114,Assumptions!$B$115+Assumptions!$B$116+Assumptions!$B$117+Assumptions!$B$118,0)</f>
        <v/>
      </c>
      <c r="D22" s="15">
        <f>IF('User Growth'!D20&gt;=Assumptions!$B$114,Assumptions!$B$115+Assumptions!$B$116+Assumptions!$B$117+Assumptions!$B$118,0)</f>
        <v/>
      </c>
      <c r="E22" s="15">
        <f>IF('User Growth'!E20&gt;=Assumptions!$B$114,Assumptions!$B$115+Assumptions!$B$116+Assumptions!$B$117+Assumptions!$B$118,0)</f>
        <v/>
      </c>
      <c r="F22" s="15">
        <f>IF('User Growth'!F20&gt;=Assumptions!$B$114,Assumptions!$B$115+Assumptions!$B$116+Assumptions!$B$117+Assumptions!$B$118,0)</f>
        <v/>
      </c>
      <c r="G22" s="15">
        <f>IF('User Growth'!G20&gt;=Assumptions!$B$114,Assumptions!$B$115+Assumptions!$B$116+Assumptions!$B$117+Assumptions!$B$118,0)</f>
        <v/>
      </c>
      <c r="H22" s="15">
        <f>IF('User Growth'!H20&gt;=Assumptions!$B$114,Assumptions!$B$115+Assumptions!$B$116+Assumptions!$B$117+Assumptions!$B$118,0)</f>
        <v/>
      </c>
      <c r="I22" s="15">
        <f>IF('User Growth'!I20&gt;=Assumptions!$B$114,Assumptions!$B$115+Assumptions!$B$116+Assumptions!$B$117+Assumptions!$B$118,0)</f>
        <v/>
      </c>
      <c r="J22" s="15">
        <f>IF('User Growth'!J20&gt;=Assumptions!$B$114,Assumptions!$B$115+Assumptions!$B$116+Assumptions!$B$117+Assumptions!$B$118,0)</f>
        <v/>
      </c>
      <c r="K22" s="15">
        <f>IF('User Growth'!K20&gt;=Assumptions!$B$114,Assumptions!$B$115+Assumptions!$B$116+Assumptions!$B$117+Assumptions!$B$118,0)</f>
        <v/>
      </c>
      <c r="L22" s="15">
        <f>IF('User Growth'!L20&gt;=Assumptions!$B$114,Assumptions!$B$115+Assumptions!$B$116+Assumptions!$B$117+Assumptions!$B$118,0)</f>
        <v/>
      </c>
      <c r="M22" s="15">
        <f>IF('User Growth'!M20&gt;=Assumptions!$B$114,Assumptions!$B$115+Assumptions!$B$116+Assumptions!$B$117+Assumptions!$B$118,0)</f>
        <v/>
      </c>
      <c r="N22" s="15">
        <f>IF('User Growth'!N20&gt;=Assumptions!$B$114,Assumptions!$B$115+Assumptions!$B$116+Assumptions!$B$117+Assumptions!$B$118,0)</f>
        <v/>
      </c>
      <c r="O22" s="15">
        <f>IF('User Growth'!O20&gt;=Assumptions!$B$114,Assumptions!$B$115+Assumptions!$B$116+Assumptions!$B$117+Assumptions!$B$118,0)</f>
        <v/>
      </c>
      <c r="P22" s="15">
        <f>IF('User Growth'!P20&gt;=Assumptions!$B$114,Assumptions!$B$115+Assumptions!$B$116+Assumptions!$B$117+Assumptions!$B$118,0)</f>
        <v/>
      </c>
      <c r="Q22" s="15">
        <f>IF('User Growth'!Q20&gt;=Assumptions!$B$114,Assumptions!$B$115+Assumptions!$B$116+Assumptions!$B$117+Assumptions!$B$118,0)</f>
        <v/>
      </c>
      <c r="R22" s="15">
        <f>IF('User Growth'!R20&gt;=Assumptions!$B$114,Assumptions!$B$115+Assumptions!$B$116+Assumptions!$B$117+Assumptions!$B$118,0)</f>
        <v/>
      </c>
      <c r="S22" s="15">
        <f>IF('User Growth'!S20&gt;=Assumptions!$B$114,Assumptions!$B$115+Assumptions!$B$116+Assumptions!$B$117+Assumptions!$B$118,0)</f>
        <v/>
      </c>
      <c r="T22" s="15">
        <f>IF('User Growth'!T20&gt;=Assumptions!$B$114,Assumptions!$B$115+Assumptions!$B$116+Assumptions!$B$117+Assumptions!$B$118,0)</f>
        <v/>
      </c>
      <c r="U22" s="15">
        <f>IF('User Growth'!U20&gt;=Assumptions!$B$114,Assumptions!$B$115+Assumptions!$B$116+Assumptions!$B$117+Assumptions!$B$118,0)</f>
        <v/>
      </c>
      <c r="V22" s="15">
        <f>IF('User Growth'!V20&gt;=Assumptions!$B$114,Assumptions!$B$115+Assumptions!$B$116+Assumptions!$B$117+Assumptions!$B$118,0)</f>
        <v/>
      </c>
      <c r="W22" s="15">
        <f>IF('User Growth'!W20&gt;=Assumptions!$B$114,Assumptions!$B$115+Assumptions!$B$116+Assumptions!$B$117+Assumptions!$B$118,0)</f>
        <v/>
      </c>
      <c r="X22" s="15">
        <f>IF('User Growth'!X20&gt;=Assumptions!$B$114,Assumptions!$B$115+Assumptions!$B$116+Assumptions!$B$117+Assumptions!$B$118,0)</f>
        <v/>
      </c>
      <c r="Y22" s="15">
        <f>IF('User Growth'!Y20&gt;=Assumptions!$B$114,Assumptions!$B$115+Assumptions!$B$116+Assumptions!$B$117+Assumptions!$B$118,0)</f>
        <v/>
      </c>
    </row>
    <row r="23">
      <c r="A23" s="3" t="inlineStr">
        <is>
          <t xml:space="preserve">    Apple Developer Program</t>
        </is>
      </c>
      <c r="B23" s="19">
        <f>Assumptions!$B$70/12</f>
        <v/>
      </c>
      <c r="C23" s="19">
        <f>Assumptions!$B$70/12</f>
        <v/>
      </c>
      <c r="D23" s="19">
        <f>Assumptions!$B$70/12</f>
        <v/>
      </c>
      <c r="E23" s="19">
        <f>Assumptions!$B$70/12</f>
        <v/>
      </c>
      <c r="F23" s="19">
        <f>Assumptions!$B$70/12</f>
        <v/>
      </c>
      <c r="G23" s="19">
        <f>Assumptions!$B$70/12</f>
        <v/>
      </c>
      <c r="H23" s="19">
        <f>Assumptions!$B$70/12</f>
        <v/>
      </c>
      <c r="I23" s="19">
        <f>Assumptions!$B$70/12</f>
        <v/>
      </c>
      <c r="J23" s="19">
        <f>Assumptions!$B$70/12</f>
        <v/>
      </c>
      <c r="K23" s="19">
        <f>Assumptions!$B$70/12</f>
        <v/>
      </c>
      <c r="L23" s="19">
        <f>Assumptions!$B$70/12</f>
        <v/>
      </c>
      <c r="M23" s="19">
        <f>Assumptions!$B$70/12</f>
        <v/>
      </c>
      <c r="N23" s="19">
        <f>Assumptions!$B$70/12</f>
        <v/>
      </c>
      <c r="O23" s="19">
        <f>Assumptions!$B$70/12</f>
        <v/>
      </c>
      <c r="P23" s="19">
        <f>Assumptions!$B$70/12</f>
        <v/>
      </c>
      <c r="Q23" s="19">
        <f>Assumptions!$B$70/12</f>
        <v/>
      </c>
      <c r="R23" s="19">
        <f>Assumptions!$B$70/12</f>
        <v/>
      </c>
      <c r="S23" s="19">
        <f>Assumptions!$B$70/12</f>
        <v/>
      </c>
      <c r="T23" s="19">
        <f>Assumptions!$B$70/12</f>
        <v/>
      </c>
      <c r="U23" s="19">
        <f>Assumptions!$B$70/12</f>
        <v/>
      </c>
      <c r="V23" s="19">
        <f>Assumptions!$B$70/12</f>
        <v/>
      </c>
      <c r="W23" s="19">
        <f>Assumptions!$B$70/12</f>
        <v/>
      </c>
      <c r="X23" s="19">
        <f>Assumptions!$B$70/12</f>
        <v/>
      </c>
      <c r="Y23" s="19">
        <f>Assumptions!$B$70/12</f>
        <v/>
      </c>
    </row>
    <row r="24">
      <c r="A24" s="3" t="inlineStr">
        <is>
          <t xml:space="preserve">    Google Play Registration</t>
        </is>
      </c>
      <c r="B24" s="15">
        <f>IF(COLUMN()=2,Assumptions!$B$71,0)</f>
        <v/>
      </c>
      <c r="C24" s="15">
        <f>IF(COLUMN()=2,Assumptions!$B$71,0)</f>
        <v/>
      </c>
      <c r="D24" s="15">
        <f>IF(COLUMN()=2,Assumptions!$B$71,0)</f>
        <v/>
      </c>
      <c r="E24" s="15">
        <f>IF(COLUMN()=2,Assumptions!$B$71,0)</f>
        <v/>
      </c>
      <c r="F24" s="15">
        <f>IF(COLUMN()=2,Assumptions!$B$71,0)</f>
        <v/>
      </c>
      <c r="G24" s="15">
        <f>IF(COLUMN()=2,Assumptions!$B$71,0)</f>
        <v/>
      </c>
      <c r="H24" s="15">
        <f>IF(COLUMN()=2,Assumptions!$B$71,0)</f>
        <v/>
      </c>
      <c r="I24" s="15">
        <f>IF(COLUMN()=2,Assumptions!$B$71,0)</f>
        <v/>
      </c>
      <c r="J24" s="15">
        <f>IF(COLUMN()=2,Assumptions!$B$71,0)</f>
        <v/>
      </c>
      <c r="K24" s="15">
        <f>IF(COLUMN()=2,Assumptions!$B$71,0)</f>
        <v/>
      </c>
      <c r="L24" s="15">
        <f>IF(COLUMN()=2,Assumptions!$B$71,0)</f>
        <v/>
      </c>
      <c r="M24" s="15">
        <f>IF(COLUMN()=2,Assumptions!$B$71,0)</f>
        <v/>
      </c>
      <c r="N24" s="15">
        <f>IF(COLUMN()=2,Assumptions!$B$71,0)</f>
        <v/>
      </c>
      <c r="O24" s="15">
        <f>IF(COLUMN()=2,Assumptions!$B$71,0)</f>
        <v/>
      </c>
      <c r="P24" s="15">
        <f>IF(COLUMN()=2,Assumptions!$B$71,0)</f>
        <v/>
      </c>
      <c r="Q24" s="15">
        <f>IF(COLUMN()=2,Assumptions!$B$71,0)</f>
        <v/>
      </c>
      <c r="R24" s="15">
        <f>IF(COLUMN()=2,Assumptions!$B$71,0)</f>
        <v/>
      </c>
      <c r="S24" s="15">
        <f>IF(COLUMN()=2,Assumptions!$B$71,0)</f>
        <v/>
      </c>
      <c r="T24" s="15">
        <f>IF(COLUMN()=2,Assumptions!$B$71,0)</f>
        <v/>
      </c>
      <c r="U24" s="15">
        <f>IF(COLUMN()=2,Assumptions!$B$71,0)</f>
        <v/>
      </c>
      <c r="V24" s="15">
        <f>IF(COLUMN()=2,Assumptions!$B$71,0)</f>
        <v/>
      </c>
      <c r="W24" s="15">
        <f>IF(COLUMN()=2,Assumptions!$B$71,0)</f>
        <v/>
      </c>
      <c r="X24" s="15">
        <f>IF(COLUMN()=2,Assumptions!$B$71,0)</f>
        <v/>
      </c>
      <c r="Y24" s="15">
        <f>IF(COLUMN()=2,Assumptions!$B$71,0)</f>
        <v/>
      </c>
    </row>
    <row r="25">
      <c r="A25" s="17" t="inlineStr">
        <is>
          <t xml:space="preserve">    Total G&amp;A</t>
        </is>
      </c>
      <c r="B25" s="18">
        <f>B20+B21+B22+B23+B24</f>
        <v/>
      </c>
      <c r="C25" s="18">
        <f>C20+C21+C22+C23+C24</f>
        <v/>
      </c>
      <c r="D25" s="18">
        <f>D20+D21+D22+D23+D24</f>
        <v/>
      </c>
      <c r="E25" s="18">
        <f>E20+E21+E22+E23+E24</f>
        <v/>
      </c>
      <c r="F25" s="18">
        <f>F20+F21+F22+F23+F24</f>
        <v/>
      </c>
      <c r="G25" s="18">
        <f>G20+G21+G22+G23+G24</f>
        <v/>
      </c>
      <c r="H25" s="18">
        <f>H20+H21+H22+H23+H24</f>
        <v/>
      </c>
      <c r="I25" s="18">
        <f>I20+I21+I22+I23+I24</f>
        <v/>
      </c>
      <c r="J25" s="18">
        <f>J20+J21+J22+J23+J24</f>
        <v/>
      </c>
      <c r="K25" s="18">
        <f>K20+K21+K22+K23+K24</f>
        <v/>
      </c>
      <c r="L25" s="18">
        <f>L20+L21+L22+L23+L24</f>
        <v/>
      </c>
      <c r="M25" s="18">
        <f>M20+M21+M22+M23+M24</f>
        <v/>
      </c>
      <c r="N25" s="18">
        <f>N20+N21+N22+N23+N24</f>
        <v/>
      </c>
      <c r="O25" s="18">
        <f>O20+O21+O22+O23+O24</f>
        <v/>
      </c>
      <c r="P25" s="18">
        <f>P20+P21+P22+P23+P24</f>
        <v/>
      </c>
      <c r="Q25" s="18">
        <f>Q20+Q21+Q22+Q23+Q24</f>
        <v/>
      </c>
      <c r="R25" s="18">
        <f>R20+R21+R22+R23+R24</f>
        <v/>
      </c>
      <c r="S25" s="18">
        <f>S20+S21+S22+S23+S24</f>
        <v/>
      </c>
      <c r="T25" s="18">
        <f>T20+T21+T22+T23+T24</f>
        <v/>
      </c>
      <c r="U25" s="18">
        <f>U20+U21+U22+U23+U24</f>
        <v/>
      </c>
      <c r="V25" s="18">
        <f>V20+V21+V22+V23+V24</f>
        <v/>
      </c>
      <c r="W25" s="18">
        <f>W20+W21+W22+W23+W24</f>
        <v/>
      </c>
      <c r="X25" s="18">
        <f>X20+X21+X22+X23+X24</f>
        <v/>
      </c>
      <c r="Y25" s="18">
        <f>Y20+Y21+Y22+Y23+Y24</f>
        <v/>
      </c>
    </row>
    <row r="27">
      <c r="A27" s="2" t="inlineStr">
        <is>
          <t xml:space="preserve">  CONFERENCE &amp; TRAVEL</t>
        </is>
      </c>
    </row>
    <row r="28">
      <c r="A28" s="12" t="inlineStr">
        <is>
          <t xml:space="preserve">    Conference Costs</t>
        </is>
      </c>
      <c r="B28" s="20" t="n">
        <v>750</v>
      </c>
      <c r="C28" s="20" t="n">
        <v>0</v>
      </c>
      <c r="D28" s="20" t="n">
        <v>0</v>
      </c>
      <c r="E28" s="20" t="n">
        <v>4500</v>
      </c>
      <c r="F28" s="20" t="n">
        <v>0</v>
      </c>
      <c r="G28" s="20" t="n">
        <v>3500</v>
      </c>
      <c r="H28" s="20" t="n">
        <v>0</v>
      </c>
      <c r="I28" s="20" t="n">
        <v>5000</v>
      </c>
      <c r="J28" s="20" t="n">
        <v>0</v>
      </c>
      <c r="K28" s="20" t="n">
        <v>0</v>
      </c>
      <c r="L28" s="20" t="n">
        <v>4000</v>
      </c>
      <c r="M28" s="20" t="n">
        <v>5000</v>
      </c>
      <c r="N28" s="20" t="n">
        <v>500</v>
      </c>
      <c r="O28" s="20" t="n">
        <v>0</v>
      </c>
      <c r="P28" s="20" t="n">
        <v>6000</v>
      </c>
      <c r="Q28" s="20" t="n">
        <v>6000</v>
      </c>
      <c r="R28" s="20" t="n">
        <v>0</v>
      </c>
      <c r="S28" s="20" t="n">
        <v>5000</v>
      </c>
      <c r="T28" s="20" t="n">
        <v>0</v>
      </c>
      <c r="U28" s="20" t="n">
        <v>8000</v>
      </c>
      <c r="V28" s="20" t="n">
        <v>0</v>
      </c>
      <c r="W28" s="20" t="n">
        <v>0</v>
      </c>
      <c r="X28" s="20" t="n">
        <v>5000</v>
      </c>
      <c r="Y28" s="20" t="n">
        <v>6000</v>
      </c>
    </row>
    <row r="29">
      <c r="A29" s="17" t="inlineStr">
        <is>
          <t xml:space="preserve">    Total Conference &amp; Travel</t>
        </is>
      </c>
      <c r="B29" s="18">
        <f>B28</f>
        <v/>
      </c>
      <c r="C29" s="18">
        <f>C28</f>
        <v/>
      </c>
      <c r="D29" s="18">
        <f>D28</f>
        <v/>
      </c>
      <c r="E29" s="18">
        <f>E28</f>
        <v/>
      </c>
      <c r="F29" s="18">
        <f>F28</f>
        <v/>
      </c>
      <c r="G29" s="18">
        <f>G28</f>
        <v/>
      </c>
      <c r="H29" s="18">
        <f>H28</f>
        <v/>
      </c>
      <c r="I29" s="18">
        <f>I28</f>
        <v/>
      </c>
      <c r="J29" s="18">
        <f>J28</f>
        <v/>
      </c>
      <c r="K29" s="18">
        <f>K28</f>
        <v/>
      </c>
      <c r="L29" s="18">
        <f>L28</f>
        <v/>
      </c>
      <c r="M29" s="18">
        <f>M28</f>
        <v/>
      </c>
      <c r="N29" s="18">
        <f>N28</f>
        <v/>
      </c>
      <c r="O29" s="18">
        <f>O28</f>
        <v/>
      </c>
      <c r="P29" s="18">
        <f>P28</f>
        <v/>
      </c>
      <c r="Q29" s="18">
        <f>Q28</f>
        <v/>
      </c>
      <c r="R29" s="18">
        <f>R28</f>
        <v/>
      </c>
      <c r="S29" s="18">
        <f>S28</f>
        <v/>
      </c>
      <c r="T29" s="18">
        <f>T28</f>
        <v/>
      </c>
      <c r="U29" s="18">
        <f>U28</f>
        <v/>
      </c>
      <c r="V29" s="18">
        <f>V28</f>
        <v/>
      </c>
      <c r="W29" s="18">
        <f>W28</f>
        <v/>
      </c>
      <c r="X29" s="18">
        <f>X28</f>
        <v/>
      </c>
      <c r="Y29" s="18">
        <f>Y28</f>
        <v/>
      </c>
    </row>
    <row r="31">
      <c r="A31" s="17" t="inlineStr">
        <is>
          <t xml:space="preserve">  TOTAL OPEX</t>
        </is>
      </c>
      <c r="B31" s="18">
        <f>B17+B25+B29</f>
        <v/>
      </c>
      <c r="C31" s="18">
        <f>C17+C25+C29</f>
        <v/>
      </c>
      <c r="D31" s="18">
        <f>D17+D25+D29</f>
        <v/>
      </c>
      <c r="E31" s="18">
        <f>E17+E25+E29</f>
        <v/>
      </c>
      <c r="F31" s="18">
        <f>F17+F25+F29</f>
        <v/>
      </c>
      <c r="G31" s="18">
        <f>G17+G25+G29</f>
        <v/>
      </c>
      <c r="H31" s="18">
        <f>H17+H25+H29</f>
        <v/>
      </c>
      <c r="I31" s="18">
        <f>I17+I25+I29</f>
        <v/>
      </c>
      <c r="J31" s="18">
        <f>J17+J25+J29</f>
        <v/>
      </c>
      <c r="K31" s="18">
        <f>K17+K25+K29</f>
        <v/>
      </c>
      <c r="L31" s="18">
        <f>L17+L25+L29</f>
        <v/>
      </c>
      <c r="M31" s="18">
        <f>M17+M25+M29</f>
        <v/>
      </c>
      <c r="N31" s="18">
        <f>N17+N25+N29</f>
        <v/>
      </c>
      <c r="O31" s="18">
        <f>O17+O25+O29</f>
        <v/>
      </c>
      <c r="P31" s="18">
        <f>P17+P25+P29</f>
        <v/>
      </c>
      <c r="Q31" s="18">
        <f>Q17+Q25+Q29</f>
        <v/>
      </c>
      <c r="R31" s="18">
        <f>R17+R25+R29</f>
        <v/>
      </c>
      <c r="S31" s="18">
        <f>S17+S25+S29</f>
        <v/>
      </c>
      <c r="T31" s="18">
        <f>T17+T25+T29</f>
        <v/>
      </c>
      <c r="U31" s="18">
        <f>U17+U25+U29</f>
        <v/>
      </c>
      <c r="V31" s="18">
        <f>V17+V25+V29</f>
        <v/>
      </c>
      <c r="W31" s="18">
        <f>W17+W25+W29</f>
        <v/>
      </c>
      <c r="X31" s="18">
        <f>X17+X25+X29</f>
        <v/>
      </c>
      <c r="Y31" s="18">
        <f>Y17+Y25+Y29</f>
        <v/>
      </c>
    </row>
    <row r="33">
      <c r="A33" s="17" t="inlineStr">
        <is>
          <t>EBITDA</t>
        </is>
      </c>
      <c r="B33" s="18">
        <f>B10-B31</f>
        <v/>
      </c>
      <c r="C33" s="18">
        <f>C10-C31</f>
        <v/>
      </c>
      <c r="D33" s="18">
        <f>D10-D31</f>
        <v/>
      </c>
      <c r="E33" s="18">
        <f>E10-E31</f>
        <v/>
      </c>
      <c r="F33" s="18">
        <f>F10-F31</f>
        <v/>
      </c>
      <c r="G33" s="18">
        <f>G10-G31</f>
        <v/>
      </c>
      <c r="H33" s="18">
        <f>H10-H31</f>
        <v/>
      </c>
      <c r="I33" s="18">
        <f>I10-I31</f>
        <v/>
      </c>
      <c r="J33" s="18">
        <f>J10-J31</f>
        <v/>
      </c>
      <c r="K33" s="18">
        <f>K10-K31</f>
        <v/>
      </c>
      <c r="L33" s="18">
        <f>L10-L31</f>
        <v/>
      </c>
      <c r="M33" s="18">
        <f>M10-M31</f>
        <v/>
      </c>
      <c r="N33" s="18">
        <f>N10-N31</f>
        <v/>
      </c>
      <c r="O33" s="18">
        <f>O10-O31</f>
        <v/>
      </c>
      <c r="P33" s="18">
        <f>P10-P31</f>
        <v/>
      </c>
      <c r="Q33" s="18">
        <f>Q10-Q31</f>
        <v/>
      </c>
      <c r="R33" s="18">
        <f>R10-R31</f>
        <v/>
      </c>
      <c r="S33" s="18">
        <f>S10-S31</f>
        <v/>
      </c>
      <c r="T33" s="18">
        <f>T10-T31</f>
        <v/>
      </c>
      <c r="U33" s="18">
        <f>U10-U31</f>
        <v/>
      </c>
      <c r="V33" s="18">
        <f>V10-V31</f>
        <v/>
      </c>
      <c r="W33" s="18">
        <f>W10-W31</f>
        <v/>
      </c>
      <c r="X33" s="18">
        <f>X10-X31</f>
        <v/>
      </c>
      <c r="Y33" s="18">
        <f>Y10-Y31</f>
        <v/>
      </c>
    </row>
    <row r="34">
      <c r="A34" s="3" t="inlineStr">
        <is>
          <t>EBITDA MARGIN %</t>
        </is>
      </c>
      <c r="B34" s="16">
        <f>IF(Revenue!B35&lt;&gt;0,B33/Revenue!B35,0)</f>
        <v/>
      </c>
      <c r="C34" s="16">
        <f>IF(Revenue!C35&lt;&gt;0,C33/Revenue!C35,0)</f>
        <v/>
      </c>
      <c r="D34" s="16">
        <f>IF(Revenue!D35&lt;&gt;0,D33/Revenue!D35,0)</f>
        <v/>
      </c>
      <c r="E34" s="16">
        <f>IF(Revenue!E35&lt;&gt;0,E33/Revenue!E35,0)</f>
        <v/>
      </c>
      <c r="F34" s="16">
        <f>IF(Revenue!F35&lt;&gt;0,F33/Revenue!F35,0)</f>
        <v/>
      </c>
      <c r="G34" s="16">
        <f>IF(Revenue!G35&lt;&gt;0,G33/Revenue!G35,0)</f>
        <v/>
      </c>
      <c r="H34" s="16">
        <f>IF(Revenue!H35&lt;&gt;0,H33/Revenue!H35,0)</f>
        <v/>
      </c>
      <c r="I34" s="16">
        <f>IF(Revenue!I35&lt;&gt;0,I33/Revenue!I35,0)</f>
        <v/>
      </c>
      <c r="J34" s="16">
        <f>IF(Revenue!J35&lt;&gt;0,J33/Revenue!J35,0)</f>
        <v/>
      </c>
      <c r="K34" s="16">
        <f>IF(Revenue!K35&lt;&gt;0,K33/Revenue!K35,0)</f>
        <v/>
      </c>
      <c r="L34" s="16">
        <f>IF(Revenue!L35&lt;&gt;0,L33/Revenue!L35,0)</f>
        <v/>
      </c>
      <c r="M34" s="16">
        <f>IF(Revenue!M35&lt;&gt;0,M33/Revenue!M35,0)</f>
        <v/>
      </c>
      <c r="N34" s="16">
        <f>IF(Revenue!N35&lt;&gt;0,N33/Revenue!N35,0)</f>
        <v/>
      </c>
      <c r="O34" s="16">
        <f>IF(Revenue!O35&lt;&gt;0,O33/Revenue!O35,0)</f>
        <v/>
      </c>
      <c r="P34" s="16">
        <f>IF(Revenue!P35&lt;&gt;0,P33/Revenue!P35,0)</f>
        <v/>
      </c>
      <c r="Q34" s="16">
        <f>IF(Revenue!Q35&lt;&gt;0,Q33/Revenue!Q35,0)</f>
        <v/>
      </c>
      <c r="R34" s="16">
        <f>IF(Revenue!R35&lt;&gt;0,R33/Revenue!R35,0)</f>
        <v/>
      </c>
      <c r="S34" s="16">
        <f>IF(Revenue!S35&lt;&gt;0,S33/Revenue!S35,0)</f>
        <v/>
      </c>
      <c r="T34" s="16">
        <f>IF(Revenue!T35&lt;&gt;0,T33/Revenue!T35,0)</f>
        <v/>
      </c>
      <c r="U34" s="16">
        <f>IF(Revenue!U35&lt;&gt;0,U33/Revenue!U35,0)</f>
        <v/>
      </c>
      <c r="V34" s="16">
        <f>IF(Revenue!V35&lt;&gt;0,V33/Revenue!V35,0)</f>
        <v/>
      </c>
      <c r="W34" s="16">
        <f>IF(Revenue!W35&lt;&gt;0,W33/Revenue!W35,0)</f>
        <v/>
      </c>
      <c r="X34" s="16">
        <f>IF(Revenue!X35&lt;&gt;0,X33/Revenue!X35,0)</f>
        <v/>
      </c>
      <c r="Y34" s="16">
        <f>IF(Revenue!Y35&lt;&gt;0,Y33/Revenue!Y35,0)</f>
        <v/>
      </c>
    </row>
    <row r="36">
      <c r="A36" s="17" t="inlineStr">
        <is>
          <t>NET INCOME</t>
        </is>
      </c>
      <c r="B36" s="18">
        <f>B33</f>
        <v/>
      </c>
      <c r="C36" s="18">
        <f>C33</f>
        <v/>
      </c>
      <c r="D36" s="18">
        <f>D33</f>
        <v/>
      </c>
      <c r="E36" s="18">
        <f>E33</f>
        <v/>
      </c>
      <c r="F36" s="18">
        <f>F33</f>
        <v/>
      </c>
      <c r="G36" s="18">
        <f>G33</f>
        <v/>
      </c>
      <c r="H36" s="18">
        <f>H33</f>
        <v/>
      </c>
      <c r="I36" s="18">
        <f>I33</f>
        <v/>
      </c>
      <c r="J36" s="18">
        <f>J33</f>
        <v/>
      </c>
      <c r="K36" s="18">
        <f>K33</f>
        <v/>
      </c>
      <c r="L36" s="18">
        <f>L33</f>
        <v/>
      </c>
      <c r="M36" s="18">
        <f>M33</f>
        <v/>
      </c>
      <c r="N36" s="18">
        <f>N33</f>
        <v/>
      </c>
      <c r="O36" s="18">
        <f>O33</f>
        <v/>
      </c>
      <c r="P36" s="18">
        <f>P33</f>
        <v/>
      </c>
      <c r="Q36" s="18">
        <f>Q33</f>
        <v/>
      </c>
      <c r="R36" s="18">
        <f>R33</f>
        <v/>
      </c>
      <c r="S36" s="18">
        <f>S33</f>
        <v/>
      </c>
      <c r="T36" s="18">
        <f>T33</f>
        <v/>
      </c>
      <c r="U36" s="18">
        <f>U33</f>
        <v/>
      </c>
      <c r="V36" s="18">
        <f>V33</f>
        <v/>
      </c>
      <c r="W36" s="18">
        <f>W33</f>
        <v/>
      </c>
      <c r="X36" s="18">
        <f>X33</f>
        <v/>
      </c>
      <c r="Y36" s="18">
        <f>Y33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3:Y33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6:Y36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Assumptions!$B$147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Expenses'!B33</f>
        <v/>
      </c>
      <c r="C3" s="15">
        <f>'COGS &amp; Operating Expenses'!C33</f>
        <v/>
      </c>
      <c r="D3" s="15">
        <f>'COGS &amp; Operating Expenses'!D33</f>
        <v/>
      </c>
      <c r="E3" s="15">
        <f>'COGS &amp; Operating Expenses'!E33</f>
        <v/>
      </c>
      <c r="F3" s="15">
        <f>'COGS &amp; Operating Expenses'!F33</f>
        <v/>
      </c>
      <c r="G3" s="15">
        <f>'COGS &amp; Operating Expenses'!G33</f>
        <v/>
      </c>
      <c r="H3" s="15">
        <f>'COGS &amp; Operating Expenses'!H33</f>
        <v/>
      </c>
      <c r="I3" s="15">
        <f>'COGS &amp; Operating Expenses'!I33</f>
        <v/>
      </c>
      <c r="J3" s="15">
        <f>'COGS &amp; Operating Expenses'!J33</f>
        <v/>
      </c>
      <c r="K3" s="15">
        <f>'COGS &amp; Operating Expenses'!K33</f>
        <v/>
      </c>
      <c r="L3" s="15">
        <f>'COGS &amp; Operating Expenses'!L33</f>
        <v/>
      </c>
      <c r="M3" s="15">
        <f>'COGS &amp; Operating Expenses'!M33</f>
        <v/>
      </c>
      <c r="N3" s="15">
        <f>'COGS &amp; Operating Expenses'!N33</f>
        <v/>
      </c>
      <c r="O3" s="15">
        <f>'COGS &amp; Operating Expenses'!O33</f>
        <v/>
      </c>
      <c r="P3" s="15">
        <f>'COGS &amp; Operating Expenses'!P33</f>
        <v/>
      </c>
      <c r="Q3" s="15">
        <f>'COGS &amp; Operating Expenses'!Q33</f>
        <v/>
      </c>
      <c r="R3" s="15">
        <f>'COGS &amp; Operating Expenses'!R33</f>
        <v/>
      </c>
      <c r="S3" s="15">
        <f>'COGS &amp; Operating Expenses'!S33</f>
        <v/>
      </c>
      <c r="T3" s="15">
        <f>'COGS &amp; Operating Expenses'!T33</f>
        <v/>
      </c>
      <c r="U3" s="15">
        <f>'COGS &amp; Operating Expenses'!U33</f>
        <v/>
      </c>
      <c r="V3" s="15">
        <f>'COGS &amp; Operating Expenses'!V33</f>
        <v/>
      </c>
      <c r="W3" s="15">
        <f>'COGS &amp; Operating Expenses'!W33</f>
        <v/>
      </c>
      <c r="X3" s="15">
        <f>'COGS &amp; Operating Expenses'!X33</f>
        <v/>
      </c>
      <c r="Y3" s="15">
        <f>'COGS &amp; Operating Expenses'!Y33</f>
        <v/>
      </c>
    </row>
    <row r="4">
      <c r="A4" s="17" t="inlineStr">
        <is>
          <t>Cumulative Cash Position</t>
        </is>
      </c>
      <c r="B4" s="18">
        <f>Assumptions!$B$147+B3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/ Licensing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Total OPEX</t>
        </is>
      </c>
      <c r="B21" s="15">
        <f>SUM('COGS &amp; Operating Expenses'!B31:'COGS &amp; Operating Expenses'!M31)</f>
        <v/>
      </c>
      <c r="C21" s="15">
        <f>SUM('COGS &amp; Operating Expenses'!N31:'COGS &amp; Operating Expenses'!Y31)</f>
        <v/>
      </c>
      <c r="D21" s="16">
        <f>IF(ABS(B21)&gt;0,(C21-B21)/ABS(B21),0)</f>
        <v/>
      </c>
    </row>
    <row r="22">
      <c r="A22" s="3" t="inlineStr">
        <is>
          <t>EBITDA / Net Income</t>
        </is>
      </c>
      <c r="B22" s="15">
        <f>SUM('COGS &amp; Operating Expenses'!B33:'COGS &amp; Operating Expenses'!M33)</f>
        <v/>
      </c>
      <c r="C22" s="15">
        <f>SUM('COGS &amp; Operating Expenses'!N33:'COGS &amp; Operating Expenses'!Y33)</f>
        <v/>
      </c>
      <c r="D22" s="16">
        <f>IF(ABS(B22)&gt;0,(C22-B22)/ABS(B22),0)</f>
        <v/>
      </c>
    </row>
    <row r="24">
      <c r="A24" s="2" t="inlineStr">
        <is>
          <t>MARGINS</t>
        </is>
      </c>
    </row>
    <row r="25">
      <c r="A25" s="3" t="inlineStr">
        <is>
          <t>Gross Margin %</t>
        </is>
      </c>
      <c r="B25" s="16">
        <f>IF(B14&lt;&gt;0,B18/B14,0)</f>
        <v/>
      </c>
      <c r="C25" s="16">
        <f>IF(C14&lt;&gt;0,C18/C14,0)</f>
        <v/>
      </c>
    </row>
    <row r="26">
      <c r="A26" s="3" t="inlineStr">
        <is>
          <t>EBITDA Margin %</t>
        </is>
      </c>
      <c r="B26" s="16">
        <f>IF(B14&lt;&gt;0,B22/B14,0)</f>
        <v/>
      </c>
      <c r="C26" s="16">
        <f>IF(C14&lt;&gt;0,C22/C14,0)</f>
        <v/>
      </c>
    </row>
  </sheetData>
  <conditionalFormatting sqref="B22:C2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(A4/Assumptions!$B$12)*SUM(Revenue!N9:Y9)+SUM(Revenue!N15:Y15)+SUM(Revenue!N20:Y20)+SUM(Revenue!N25:Y25)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(A5/Assumptions!$B$12)*SUM(Revenue!N9:Y9)+SUM(Revenue!N15:Y15)+SUM(Revenue!N20:Y20)+SUM(Revenue!N25:Y25)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(A6/Assumptions!$B$12)*SUM(Revenue!N9:Y9)+SUM(Revenue!N15:Y15)+SUM(Revenue!N20:Y20)+SUM(Revenue!N25:Y25)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(A7/Assumptions!$B$12)*SUM(Revenue!N9:Y9)+SUM(Revenue!N15:Y15)+SUM(Revenue!N20:Y20)+SUM(Revenue!N25:Y25)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(A8/Assumptions!$B$12)*SUM(Revenue!N9:Y9)+SUM(Revenue!N15:Y15)+SUM(Revenue!N20:Y20)+SUM(Revenue!N25:Y25)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((1-A12)/(1-Assumptions!$B$19))^6*SUM(Revenue!N9:Y9)+SUM(Revenue!N15:Y15)+SUM(Revenue!N20:Y20)+SUM(Revenue!N25:Y25)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((1-A13)/(1-Assumptions!$B$19))^6*SUM(Revenue!N9:Y9)+SUM(Revenue!N15:Y15)+SUM(Revenue!N20:Y20)+SUM(Revenue!N25:Y25)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((1-A14)/(1-Assumptions!$B$19))^6*SUM(Revenue!N9:Y9)+SUM(Revenue!N15:Y15)+SUM(Revenue!N20:Y20)+SUM(Revenue!N25:Y25)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((1-A15)/(1-Assumptions!$B$19))^6*SUM(Revenue!N9:Y9)+SUM(Revenue!N15:Y15)+SUM(Revenue!N20:Y20)+SUM(Revenue!N25:Y25)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((1-A16)/(1-Assumptions!$B$19))^6*SUM(Revenue!N9:Y9)+SUM(Revenue!N15:Y15)+SUM(Revenue!N20:Y20)+SUM(Revenue!N25:Y25)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COMPLIANCE — CANADA (NO LICENSE REQUIRED)</t>
        </is>
      </c>
      <c r="B31" t="inlineStr"/>
    </row>
    <row r="32">
      <c r="A32" t="inlineStr">
        <is>
          <t>Criminal Code s.206(1)(d) skill exemption</t>
        </is>
      </c>
      <c r="B32" t="inlineStr">
        <is>
          <t>DFS is LEGAL — contest of skill, no gaming license</t>
        </is>
      </c>
      <c r="C32" s="28" t="inlineStr">
        <is>
          <t>https://laws-lois.justice.gc.ca/eng/acts/c-46/page-46.html</t>
        </is>
      </c>
    </row>
    <row r="33">
      <c r="A33" t="inlineStr">
        <is>
          <t>NOT regulated by iGaming Ontario</t>
        </is>
      </c>
      <c r="B33" t="inlineStr">
        <is>
          <t>iGO = sportsbooks/casinos only, not DFS</t>
        </is>
      </c>
      <c r="C33" s="28" t="inlineStr">
        <is>
          <t>https://igamingontario.ca/en/operators</t>
        </is>
      </c>
    </row>
    <row r="34">
      <c r="A34" t="inlineStr">
        <is>
          <t>NOT regulated by AGCO for DFS</t>
        </is>
      </c>
      <c r="B34" t="inlineStr">
        <is>
          <t>AGCO gaming regs do not cover skill contests</t>
        </is>
      </c>
      <c r="C34" s="28" t="inlineStr">
        <is>
          <t>https://www.agco.ca/igaming</t>
        </is>
      </c>
    </row>
    <row r="35">
      <c r="A35" t="inlineStr">
        <is>
          <t>DK/FD DFS precedent in Canada</t>
        </is>
      </c>
      <c r="B35" t="inlineStr">
        <is>
          <t>Both operate DFS in Canada without gaming license</t>
        </is>
      </c>
    </row>
    <row r="36">
      <c r="A36" t="inlineStr">
        <is>
          <t>FINTRAC AML if prize pools &gt;$10K</t>
        </is>
      </c>
      <c r="B36" t="inlineStr">
        <is>
          <t>Reporting obligations — not a license, just compliance</t>
        </is>
      </c>
      <c r="C36" s="28" t="inlineStr">
        <is>
          <t>https://fintrac-canafe.canada.ca/re-ed/intro-eng</t>
        </is>
      </c>
    </row>
    <row r="37">
      <c r="A37" t="inlineStr">
        <is>
          <t>Legal opinion $3K-8K one-time</t>
        </is>
      </c>
      <c r="B37" t="inlineStr">
        <is>
          <t>Confirms s.206(1)(d) applies — amortized in model</t>
        </is>
      </c>
    </row>
    <row r="38">
      <c r="A38" t="inlineStr"/>
      <c r="B38" t="inlineStr"/>
    </row>
    <row r="39">
      <c r="A39" s="2" t="inlineStr">
        <is>
          <t>MARKETING / CAC</t>
        </is>
      </c>
      <c r="B39" t="inlineStr"/>
    </row>
    <row r="40">
      <c r="A40" t="inlineStr">
        <is>
          <t>DraftKings/FanDuel CAC $200-350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>
        <is>
          <t>NA Mobile CPI $5.28</t>
        </is>
      </c>
      <c r="B41" t="inlineStr">
        <is>
          <t>BusinessOfApps UA Costs</t>
        </is>
      </c>
      <c r="C41" s="28" t="inlineStr">
        <is>
          <t>https://www.businessofapps.com/marketplace/user-acquisition/research/user-acquisition-costs/</t>
        </is>
      </c>
    </row>
    <row r="42">
      <c r="A42" t="inlineStr"/>
      <c r="B42" t="inlineStr"/>
    </row>
    <row r="43">
      <c r="A43" s="2" t="inlineStr">
        <is>
          <t>MARKET DATA</t>
        </is>
      </c>
      <c r="B43" t="inlineStr"/>
    </row>
    <row r="44">
      <c r="A44" t="inlineStr">
        <is>
          <t>Fantasy sports market $32B, 14.1% CAGR</t>
        </is>
      </c>
      <c r="B44" t="inlineStr">
        <is>
          <t>Mordor Intelligence</t>
        </is>
      </c>
      <c r="C44" s="28" t="inlineStr">
        <is>
          <t>https://www.mordorintelligence.com/industry-reports/north-america-fantasy-sports-market</t>
        </is>
      </c>
    </row>
    <row r="45">
      <c r="A45" t="inlineStr">
        <is>
          <t>Sleeper $40M Series C, 3M+ users</t>
        </is>
      </c>
      <c r="B45" t="inlineStr">
        <is>
          <t>PR Newswire</t>
        </is>
      </c>
      <c r="C45" s="28" t="inlineStr">
        <is>
          <t>https://www.prnewswire.com/news-releases/fantasy-sports-app-sleeper-raises-40-million-doubles-user-base-in-2021-301379179.html</t>
        </is>
      </c>
    </row>
    <row r="46">
      <c r="A46" t="inlineStr"/>
      <c r="B46" t="inlineStr"/>
    </row>
    <row r="47">
      <c r="A47" s="2" t="inlineStr">
        <is>
          <t>METHODOLOGY NOTES</t>
        </is>
      </c>
      <c r="B47" t="inlineStr"/>
    </row>
    <row r="48">
      <c r="A48" t="inlineStr">
        <is>
          <t>User growth model</t>
        </is>
      </c>
      <c r="B48" t="inlineStr">
        <is>
          <t>Bottom-up monthly cohort model with seasonal multipliers</t>
        </is>
      </c>
    </row>
    <row r="49">
      <c r="A49" t="inlineStr">
        <is>
          <t>Conversion timing</t>
        </is>
      </c>
      <c r="B49" t="inlineStr">
        <is>
          <t>In-season 1.8x multiplier, off-season 0.4x</t>
        </is>
      </c>
    </row>
    <row r="50">
      <c r="A50" t="inlineStr">
        <is>
          <t>Churn model</t>
        </is>
      </c>
      <c r="B50" t="inlineStr">
        <is>
          <t>Monthly churn with seasonal variation (in vs off-season)</t>
        </is>
      </c>
    </row>
    <row r="51">
      <c r="A51" t="inlineStr">
        <is>
          <t>Revenue recognition</t>
        </is>
      </c>
      <c r="B51" t="inlineStr">
        <is>
          <t>Subscription recognized monthly; annual billing amortized</t>
        </is>
      </c>
    </row>
    <row r="52">
      <c r="A52" t="inlineStr">
        <is>
          <t>Marketing timing</t>
        </is>
      </c>
      <c r="B52" t="inlineStr">
        <is>
          <t>Digital marketing gated on launch month; influencer spend is lump-sum per month</t>
        </is>
      </c>
    </row>
    <row r="53">
      <c r="A53" t="inlineStr">
        <is>
          <t>Platform fee allocation</t>
        </is>
      </c>
      <c r="B53" t="inlineStr">
        <is>
          <t>70% mobile (60/40 iOS/Android), 30% web (Stripe)</t>
        </is>
      </c>
    </row>
    <row r="54">
      <c r="A54" t="inlineStr">
        <is>
          <t>COGS scaling</t>
        </is>
      </c>
      <c r="B54" t="inlineStr">
        <is>
          <t>Supabase upgrades at 50K users; Claude API scales per-query</t>
        </is>
      </c>
    </row>
    <row r="55">
      <c r="A55" t="inlineStr">
        <is>
          <t>Advertising</t>
        </is>
      </c>
      <c r="B55" t="inlineStr">
        <is>
          <t>Web-only ads (no mobile app ads); 30% web × 80% no ad-blocker = 24% eligible</t>
        </is>
      </c>
    </row>
    <row r="56">
      <c r="A56" t="inlineStr">
        <is>
          <t>DFS compliance (Canada)</t>
        </is>
      </c>
      <c r="B56" t="inlineStr">
        <is>
          <t>NO LICENSE REQUIRED — skill contest under Criminal Code s.206(1)(d); prudent compliance at scale</t>
        </is>
      </c>
    </row>
    <row r="57">
      <c r="A57" t="inlineStr">
        <is>
          <t>DFS launch</t>
        </is>
      </c>
      <c r="B57" t="inlineStr">
        <is>
          <t>Month 19 (Oct 2027) per product roadmap</t>
        </is>
      </c>
    </row>
    <row r="58">
      <c r="A58" t="inlineStr"/>
      <c r="B58" t="inlineStr"/>
    </row>
    <row r="59">
      <c r="A59" s="2" t="inlineStr">
        <is>
          <t>DYNAMIC MODEL NOTE</t>
        </is>
      </c>
      <c r="B59" t="inlineStr"/>
    </row>
    <row r="60">
      <c r="A60" t="inlineStr">
        <is>
          <t>All computed cells use Excel formulas</t>
        </is>
      </c>
      <c r="B60" t="inlineStr">
        <is>
          <t>Change any yellow input cell to recalculate instantly</t>
        </is>
      </c>
    </row>
    <row r="61">
      <c r="A61" t="inlineStr">
        <is>
          <t>Input cells on Assumptions tab</t>
        </is>
      </c>
      <c r="B61" t="inlineStr">
        <is>
          <t>All model inputs: pricing, rates, costs, AND monthly new user targets</t>
        </is>
      </c>
    </row>
    <row r="62">
      <c r="A62" t="inlineStr">
        <is>
          <t>Input cells on COGS tab</t>
        </is>
      </c>
      <c r="B62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2026-03-26T16:21:03Z</dcterms:created>
  <dcterms:modified xsi:type="dcterms:W3CDTF">2026-03-26T16:21:03Z</dcterms:modified>
</cp:coreProperties>
</file>