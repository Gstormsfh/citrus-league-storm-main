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User Growth" sheetId="2" state="visible" r:id="rId2"/>
    <sheet name="Revenue" sheetId="3" state="visible" r:id="rId3"/>
    <sheet name="COGS &amp; Operating Expenses" sheetId="4" state="visible" r:id="rId4"/>
    <sheet name="Unit Economics" sheetId="5" state="visible" r:id="rId5"/>
    <sheet name="Cash Flow &amp; Runway" sheetId="6" state="visible" r:id="rId6"/>
    <sheet name="Annual Summary" sheetId="7" state="visible" r:id="rId7"/>
    <sheet name="Sensitivity Analysis" sheetId="8" state="visible" r:id="rId8"/>
    <sheet name="Sources &amp; 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&quot;x&quot;"/>
    <numFmt numFmtId="166" formatCode="0.0000"/>
    <numFmt numFmtId="167" formatCode="0.0"/>
    <numFmt numFmtId="168" formatCode="$#,##0.0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A6741"/>
      <sz val="11"/>
    </font>
    <font>
      <sz val="10"/>
    </font>
    <font>
      <b val="1"/>
      <color rgb="00D4702A"/>
    </font>
    <font>
      <i val="1"/>
      <color rgb="004A6741"/>
    </font>
    <font>
      <b val="1"/>
      <sz val="10"/>
    </font>
    <font>
      <sz val="9"/>
    </font>
    <font>
      <b val="1"/>
      <color rgb="004A6741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4A6741"/>
      </patternFill>
    </fill>
    <fill>
      <patternFill patternType="solid">
        <fgColor rgb="00FFF9E6"/>
      </patternFill>
    </fill>
    <fill>
      <patternFill patternType="solid">
        <fgColor rgb="00FFE8CC"/>
      </patternFill>
    </fill>
    <fill>
      <patternFill patternType="solid">
        <fgColor rgb="00D4E8B8"/>
      </patternFill>
    </fill>
    <fill>
      <patternFill patternType="solid">
        <fgColor rgb="00F5F0E8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4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6" fillId="6" borderId="1" pivotButton="0" quotePrefix="0" xfId="0"/>
    <xf numFmtId="3" fontId="0" fillId="6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4" fillId="3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0" fontId="8" fillId="0" borderId="0" pivotButton="0" quotePrefix="0" xfId="0"/>
    <xf numFmtId="164" fontId="4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168" fontId="4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2">
    <dxf>
      <font>
        <color rgb="00CC0000"/>
      </font>
    </dxf>
    <dxf>
      <font>
        <color rgb="004A674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65" customWidth="1" min="4" max="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 / Citation</t>
        </is>
      </c>
    </row>
    <row r="2">
      <c r="A2" s="2" t="inlineStr">
        <is>
          <t>PRICING</t>
        </is>
      </c>
    </row>
    <row r="3">
      <c r="A3" s="3" t="inlineStr">
        <is>
          <t>Pro Tier — Monthly</t>
        </is>
      </c>
      <c r="B3" s="4" t="n">
        <v>4.99</v>
      </c>
      <c r="C3" s="5" t="inlineStr">
        <is>
          <t>USD/mo</t>
        </is>
      </c>
      <c r="D3" t="inlineStr"/>
    </row>
    <row r="4">
      <c r="A4" s="3" t="inlineStr">
        <is>
          <t>Commissioner Tier — Monthly</t>
        </is>
      </c>
      <c r="B4" s="4" t="n">
        <v>9.99</v>
      </c>
      <c r="C4" s="5" t="inlineStr">
        <is>
          <t>USD/mo</t>
        </is>
      </c>
      <c r="D4" t="inlineStr"/>
    </row>
    <row r="5">
      <c r="A5" s="3" t="inlineStr">
        <is>
          <t>Annual Billing Discount</t>
        </is>
      </c>
      <c r="B5" s="6" t="n">
        <v>0.2</v>
      </c>
      <c r="C5" s="5" t="inlineStr">
        <is>
          <t>%</t>
        </is>
      </c>
      <c r="D5" t="inlineStr">
        <is>
          <t>Industry standard</t>
        </is>
      </c>
    </row>
    <row r="6">
      <c r="A6" s="3" t="inlineStr">
        <is>
          <t>Annual Billing %</t>
        </is>
      </c>
      <c r="B6" s="6" t="n">
        <v>0.3</v>
      </c>
      <c r="C6" s="5" t="inlineStr">
        <is>
          <t>%</t>
        </is>
      </c>
      <c r="D6" t="inlineStr">
        <is>
          <t>Industry benchmarks</t>
        </is>
      </c>
    </row>
    <row r="7">
      <c r="A7" s="3" t="inlineStr">
        <is>
          <t>Monthly Billing %</t>
        </is>
      </c>
      <c r="B7" s="6" t="n">
        <v>0.7</v>
      </c>
      <c r="C7" s="5" t="inlineStr">
        <is>
          <t>%</t>
        </is>
      </c>
      <c r="D7" t="inlineStr"/>
    </row>
    <row r="8">
      <c r="A8" t="inlineStr"/>
    </row>
    <row r="9">
      <c r="A9" s="2" t="inlineStr">
        <is>
          <t>CONVERSION RATES</t>
        </is>
      </c>
    </row>
    <row r="10">
      <c r="A10" s="3" t="inlineStr">
        <is>
          <t>Premium Features Launch Threshold</t>
        </is>
      </c>
      <c r="B10" s="7" t="n">
        <v>10000</v>
      </c>
      <c r="C10" s="5" t="inlineStr">
        <is>
          <t>users</t>
        </is>
      </c>
      <c r="D10" t="inlineStr">
        <is>
          <t>No paid tiers until user base hits this</t>
        </is>
      </c>
    </row>
    <row r="11">
      <c r="A11" s="3" t="inlineStr">
        <is>
          <t>Free → Pro Y1</t>
        </is>
      </c>
      <c r="B11" s="6" t="n">
        <v>0.025</v>
      </c>
      <c r="C11" s="5" t="inlineStr">
        <is>
          <t>%</t>
        </is>
      </c>
      <c r="D11" t="inlineStr">
        <is>
          <t>RevenueCat median 2.18%; niche premium</t>
        </is>
      </c>
    </row>
    <row r="12">
      <c r="A12" s="3" t="inlineStr">
        <is>
          <t>Free → Pro Y2</t>
        </is>
      </c>
      <c r="B12" s="6" t="n">
        <v>0.055</v>
      </c>
      <c r="C12" s="5" t="inlineStr">
        <is>
          <t>%</t>
        </is>
      </c>
      <c r="D12" t="inlineStr">
        <is>
          <t>Product maturation + mobile</t>
        </is>
      </c>
    </row>
    <row r="13">
      <c r="A13" s="3" t="inlineStr">
        <is>
          <t>Free → Commissioner Y1</t>
        </is>
      </c>
      <c r="B13" s="6" t="n">
        <v>0.008</v>
      </c>
      <c r="C13" s="5" t="inlineStr">
        <is>
          <t>%</t>
        </is>
      </c>
      <c r="D13" t="inlineStr">
        <is>
          <t>Power-user tier</t>
        </is>
      </c>
    </row>
    <row r="14">
      <c r="A14" s="3" t="inlineStr">
        <is>
          <t>Free → Commissioner Y2</t>
        </is>
      </c>
      <c r="B14" s="6" t="n">
        <v>0.015</v>
      </c>
      <c r="C14" s="5" t="inlineStr">
        <is>
          <t>%</t>
        </is>
      </c>
      <c r="D14" t="inlineStr"/>
    </row>
    <row r="15">
      <c r="A15" s="3" t="inlineStr">
        <is>
          <t>In-Season Multiplier</t>
        </is>
      </c>
      <c r="B15" s="8" t="n">
        <v>1.8</v>
      </c>
      <c r="C15" s="5" t="inlineStr">
        <is>
          <t>x</t>
        </is>
      </c>
      <c r="D15" t="inlineStr">
        <is>
          <t>NHL engagement seasonality</t>
        </is>
      </c>
    </row>
    <row r="16">
      <c r="A16" s="3" t="inlineStr">
        <is>
          <t>Off-Season Multiplier</t>
        </is>
      </c>
      <c r="B16" s="8" t="n">
        <v>0.4</v>
      </c>
      <c r="C16" s="5" t="inlineStr">
        <is>
          <t>x</t>
        </is>
      </c>
      <c r="D16" t="inlineStr"/>
    </row>
    <row r="17">
      <c r="A17" t="inlineStr"/>
    </row>
    <row r="18">
      <c r="A18" t="inlineStr">
        <is>
          <t>CHURN RATES (Monthly)</t>
        </is>
      </c>
    </row>
    <row r="19">
      <c r="A19" s="3" t="inlineStr">
        <is>
          <t>Pro In-Season</t>
        </is>
      </c>
      <c r="B19" s="6" t="n">
        <v>0.04</v>
      </c>
      <c r="C19" s="5" t="inlineStr">
        <is>
          <t>%</t>
        </is>
      </c>
      <c r="D19" t="inlineStr">
        <is>
          <t>Below mobile avg 9%</t>
        </is>
      </c>
    </row>
    <row r="20">
      <c r="A20" s="3" t="inlineStr">
        <is>
          <t>Pro Off-Season</t>
        </is>
      </c>
      <c r="B20" s="6" t="n">
        <v>0.12</v>
      </c>
      <c r="C20" s="5" t="inlineStr">
        <is>
          <t>%</t>
        </is>
      </c>
      <c r="D20" t="inlineStr">
        <is>
          <t>Seasonal disengagement</t>
        </is>
      </c>
    </row>
    <row r="21">
      <c r="A21" s="3" t="inlineStr">
        <is>
          <t>Commissioner In-Season</t>
        </is>
      </c>
      <c r="B21" s="6" t="n">
        <v>0.025</v>
      </c>
      <c r="C21" s="5" t="inlineStr">
        <is>
          <t>%</t>
        </is>
      </c>
      <c r="D21" t="inlineStr">
        <is>
          <t>Stickier — league mgmt</t>
        </is>
      </c>
    </row>
    <row r="22">
      <c r="A22" s="3" t="inlineStr">
        <is>
          <t>Commissioner Off-Season</t>
        </is>
      </c>
      <c r="B22" s="6" t="n">
        <v>0.08</v>
      </c>
      <c r="C22" s="5" t="inlineStr">
        <is>
          <t>%</t>
        </is>
      </c>
      <c r="D22" t="inlineStr"/>
    </row>
    <row r="23">
      <c r="A23" s="3" t="inlineStr">
        <is>
          <t>Free In-Season</t>
        </is>
      </c>
      <c r="B23" s="6" t="n">
        <v>0.06</v>
      </c>
      <c r="C23" s="5" t="inlineStr">
        <is>
          <t>%</t>
        </is>
      </c>
      <c r="D23" t="inlineStr"/>
    </row>
    <row r="24">
      <c r="A24" s="3" t="inlineStr">
        <is>
          <t>Free Off-Season</t>
        </is>
      </c>
      <c r="B24" s="6" t="n">
        <v>0.15</v>
      </c>
      <c r="C24" s="5" t="inlineStr">
        <is>
          <t>%</t>
        </is>
      </c>
      <c r="D24" t="inlineStr"/>
    </row>
    <row r="25">
      <c r="A25" t="inlineStr"/>
    </row>
    <row r="26">
      <c r="A26" t="inlineStr">
        <is>
          <t>STORMY AI — TOKEN BUDGETS (per tier)</t>
        </is>
      </c>
    </row>
    <row r="27">
      <c r="A27" s="3" t="inlineStr">
        <is>
          <t>Free Tier Tokens/mo</t>
        </is>
      </c>
      <c r="B27" s="7" t="n">
        <v>5000</v>
      </c>
      <c r="C27" s="5" t="inlineStr">
        <is>
          <t>tokens</t>
        </is>
      </c>
      <c r="D27" t="inlineStr">
        <is>
          <t>~2-3 short questions</t>
        </is>
      </c>
    </row>
    <row r="28">
      <c r="A28" s="3" t="inlineStr">
        <is>
          <t>Pro Tier Tokens/mo</t>
        </is>
      </c>
      <c r="B28" s="7" t="n">
        <v>50000</v>
      </c>
      <c r="C28" s="5" t="inlineStr">
        <is>
          <t>tokens</t>
        </is>
      </c>
      <c r="D28" t="inlineStr">
        <is>
          <t>~25 questions/mo</t>
        </is>
      </c>
    </row>
    <row r="29">
      <c r="A29" s="3" t="inlineStr">
        <is>
          <t>Commissioner Tier Tokens/mo</t>
        </is>
      </c>
      <c r="B29" s="7" t="n">
        <v>150000</v>
      </c>
      <c r="C29" s="5" t="inlineStr">
        <is>
          <t>tokens</t>
        </is>
      </c>
      <c r="D29" t="inlineStr">
        <is>
          <t>~75 questions/mo</t>
        </is>
      </c>
    </row>
    <row r="30">
      <c r="A30" t="inlineStr"/>
    </row>
    <row r="31">
      <c r="A31" t="inlineStr">
        <is>
          <t>PAY-PER-USE (Token Top-Up Packs)</t>
        </is>
      </c>
    </row>
    <row r="32">
      <c r="A32" s="3" t="inlineStr">
        <is>
          <t>Free User Token Pack</t>
        </is>
      </c>
      <c r="B32" s="4" t="n">
        <v>2.99</v>
      </c>
      <c r="C32" s="5" t="inlineStr">
        <is>
          <t>USD</t>
        </is>
      </c>
      <c r="D32" t="inlineStr">
        <is>
          <t>25K tokens — $0.12/1K (premium)</t>
        </is>
      </c>
    </row>
    <row r="33">
      <c r="A33" s="3" t="inlineStr">
        <is>
          <t>Paid User Token Pack</t>
        </is>
      </c>
      <c r="B33" s="4" t="n">
        <v>1.99</v>
      </c>
      <c r="C33" s="5" t="inlineStr">
        <is>
          <t>USD</t>
        </is>
      </c>
      <c r="D33" t="inlineStr">
        <is>
          <t>100K tokens — $0.02/1K (subscriber perk)</t>
        </is>
      </c>
    </row>
    <row r="34">
      <c r="A34" s="3" t="inlineStr">
        <is>
          <t>Top-Up Attach — Free Users</t>
        </is>
      </c>
      <c r="B34" s="6" t="n">
        <v>0.03</v>
      </c>
      <c r="C34" s="5" t="inlineStr">
        <is>
          <t>%/mo</t>
        </is>
      </c>
      <c r="D34" t="inlineStr">
        <is>
          <t>Hit limit, want more</t>
        </is>
      </c>
    </row>
    <row r="35">
      <c r="A35" s="3" t="inlineStr">
        <is>
          <t>Top-Up Attach — Pro/Comm</t>
        </is>
      </c>
      <c r="B35" s="6" t="n">
        <v>0.08</v>
      </c>
      <c r="C35" s="5" t="inlineStr">
        <is>
          <t>%/mo</t>
        </is>
      </c>
      <c r="D35" t="inlineStr">
        <is>
          <t>Power users exceeding budget</t>
        </is>
      </c>
    </row>
    <row r="36">
      <c r="A36" s="3" t="inlineStr">
        <is>
          <t>Draft Kit Price</t>
        </is>
      </c>
      <c r="B36" s="4" t="n">
        <v>4.99</v>
      </c>
      <c r="C36" s="5" t="inlineStr">
        <is>
          <t>USD</t>
        </is>
      </c>
      <c r="D36" t="inlineStr">
        <is>
          <t>One-time per season</t>
        </is>
      </c>
    </row>
    <row r="37">
      <c r="A37" s="3" t="inlineStr">
        <is>
          <t>Draft Kit Attach Rate</t>
        </is>
      </c>
      <c r="B37" s="6" t="n">
        <v>0.08</v>
      </c>
      <c r="C37" s="5" t="inlineStr">
        <is>
          <t>%</t>
        </is>
      </c>
      <c r="D37" t="inlineStr">
        <is>
          <t>All users in draft months</t>
        </is>
      </c>
    </row>
    <row r="38">
      <c r="A38" t="inlineStr"/>
    </row>
    <row r="39">
      <c r="A39" s="2" t="inlineStr">
        <is>
          <t>DFS</t>
        </is>
      </c>
    </row>
    <row r="40">
      <c r="A40" s="3" t="inlineStr">
        <is>
          <t>DFS Rake</t>
        </is>
      </c>
      <c r="B40" s="6" t="n">
        <v>0.12</v>
      </c>
      <c r="C40" s="5" t="inlineStr">
        <is>
          <t>%</t>
        </is>
      </c>
      <c r="D40" t="inlineStr">
        <is>
          <t>DK/FD range 10-16%</t>
        </is>
      </c>
    </row>
    <row r="41">
      <c r="A41" s="3" t="inlineStr">
        <is>
          <t>Average Entry Fee</t>
        </is>
      </c>
      <c r="B41" s="4" t="n">
        <v>5</v>
      </c>
      <c r="C41" s="5" t="inlineStr">
        <is>
          <t>USD</t>
        </is>
      </c>
      <c r="D41" t="inlineStr"/>
    </row>
    <row r="42">
      <c r="A42" s="3" t="inlineStr">
        <is>
          <t>Participation Rate</t>
        </is>
      </c>
      <c r="B42" s="6" t="n">
        <v>0.05</v>
      </c>
      <c r="C42" s="5" t="inlineStr">
        <is>
          <t>%</t>
        </is>
      </c>
      <c r="D42" t="inlineStr">
        <is>
          <t>Hockey-only; DK ~10% all sports</t>
        </is>
      </c>
    </row>
    <row r="43">
      <c r="A43" s="3" t="inlineStr">
        <is>
          <t>Entries per User per Month</t>
        </is>
      </c>
      <c r="B43" s="7" t="n">
        <v>5</v>
      </c>
      <c r="C43" s="5" t="inlineStr">
        <is>
          <t>#</t>
        </is>
      </c>
      <c r="D43" t="inlineStr"/>
    </row>
    <row r="44">
      <c r="A44" s="3" t="inlineStr">
        <is>
          <t>DFS Launch Month Index</t>
        </is>
      </c>
      <c r="B44" s="7" t="n">
        <v>18</v>
      </c>
      <c r="C44" s="5" t="inlineStr">
        <is>
          <t>0-based</t>
        </is>
      </c>
      <c r="D44" t="inlineStr">
        <is>
          <t>Oct 2027</t>
        </is>
      </c>
    </row>
    <row r="45">
      <c r="A45" t="inlineStr"/>
    </row>
    <row r="46">
      <c r="A46" t="inlineStr">
        <is>
          <t>ADVERTISING (web only — no mobile app ads)</t>
        </is>
      </c>
    </row>
    <row r="47">
      <c r="A47" s="3" t="inlineStr">
        <is>
          <t>Blended eCPM</t>
        </is>
      </c>
      <c r="B47" s="4" t="n">
        <v>6</v>
      </c>
      <c r="C47" s="5" t="inlineStr">
        <is>
          <t>USD</t>
        </is>
      </c>
      <c r="D47" t="inlineStr">
        <is>
          <t>BusinessOfApps/Appodeal — web display</t>
        </is>
      </c>
    </row>
    <row r="48">
      <c r="A48" s="3" t="inlineStr">
        <is>
          <t>Pageviews/Free User In-Season</t>
        </is>
      </c>
      <c r="B48" s="7" t="n">
        <v>100</v>
      </c>
      <c r="C48" s="5" t="inlineStr">
        <is>
          <t>#/mo</t>
        </is>
      </c>
      <c r="D48" t="inlineStr"/>
    </row>
    <row r="49">
      <c r="A49" s="3" t="inlineStr">
        <is>
          <t>Pageviews/Free User Off-Season</t>
        </is>
      </c>
      <c r="B49" s="7" t="n">
        <v>50</v>
      </c>
      <c r="C49" s="5" t="inlineStr">
        <is>
          <t>#/mo</t>
        </is>
      </c>
      <c r="D49" t="inlineStr"/>
    </row>
    <row r="50">
      <c r="A50" s="3" t="inlineStr">
        <is>
          <t>Ad-Eligible % (web users only)</t>
        </is>
      </c>
      <c r="B50" s="6" t="n">
        <v>0.24</v>
      </c>
      <c r="C50" s="5" t="inlineStr">
        <is>
          <t>%</t>
        </is>
      </c>
      <c r="D50" t="inlineStr">
        <is>
          <t>30% web × 80% no ad-blocker</t>
        </is>
      </c>
    </row>
    <row r="51">
      <c r="A51" t="inlineStr"/>
    </row>
    <row r="52">
      <c r="A52" s="2" t="inlineStr">
        <is>
          <t>INFRASTRUCTURE</t>
        </is>
      </c>
    </row>
    <row r="53">
      <c r="A53" s="3" t="inlineStr">
        <is>
          <t>Supabase Pro</t>
        </is>
      </c>
      <c r="B53" s="7" t="n">
        <v>25</v>
      </c>
      <c r="C53" s="5" t="inlineStr">
        <is>
          <t>USD/mo</t>
        </is>
      </c>
      <c r="D53" t="inlineStr">
        <is>
          <t>supabase.com/pricing</t>
        </is>
      </c>
    </row>
    <row r="54">
      <c r="A54" s="3" t="inlineStr">
        <is>
          <t>Supabase Team (&gt;threshold)</t>
        </is>
      </c>
      <c r="B54" s="7" t="n">
        <v>599</v>
      </c>
      <c r="C54" s="5" t="inlineStr">
        <is>
          <t>USD/mo</t>
        </is>
      </c>
      <c r="D54" t="inlineStr">
        <is>
          <t>supabase.com/pricing</t>
        </is>
      </c>
    </row>
    <row r="55">
      <c r="A55" s="3" t="inlineStr">
        <is>
          <t>Supabase User Threshold</t>
        </is>
      </c>
      <c r="B55" s="7" t="n">
        <v>50000</v>
      </c>
      <c r="C55" s="5" t="inlineStr">
        <is>
          <t>users</t>
        </is>
      </c>
      <c r="D55" t="inlineStr"/>
    </row>
    <row r="56">
      <c r="A56" s="3" t="inlineStr">
        <is>
          <t>Firebase Base Cost</t>
        </is>
      </c>
      <c r="B56" s="7" t="n">
        <v>5</v>
      </c>
      <c r="C56" s="5" t="inlineStr">
        <is>
          <t>USD/mo</t>
        </is>
      </c>
      <c r="D56" t="inlineStr">
        <is>
          <t>firebase.google.com</t>
        </is>
      </c>
    </row>
    <row r="57">
      <c r="A57" s="3" t="inlineStr">
        <is>
          <t>Firebase Scaling per User</t>
        </is>
      </c>
      <c r="B57" s="9" t="n">
        <v>0.001</v>
      </c>
      <c r="C57" s="5" t="inlineStr">
        <is>
          <t>USD/user</t>
        </is>
      </c>
      <c r="D57" t="inlineStr">
        <is>
          <t>Rough estimate</t>
        </is>
      </c>
    </row>
    <row r="58">
      <c r="A58" s="3" t="inlineStr">
        <is>
          <t>Claude API Cost per 1M Tokens</t>
        </is>
      </c>
      <c r="B58" s="4" t="n">
        <v>5</v>
      </c>
      <c r="C58" s="5" t="inlineStr">
        <is>
          <t>USD/1M tok</t>
        </is>
      </c>
      <c r="D58" t="inlineStr">
        <is>
          <t>Blended Sonnet: $3 in + $15 out + caching</t>
        </is>
      </c>
    </row>
    <row r="59">
      <c r="A59" s="3" t="inlineStr">
        <is>
          <t>Proxy Rotation</t>
        </is>
      </c>
      <c r="B59" s="7" t="n">
        <v>100</v>
      </c>
      <c r="C59" s="5" t="inlineStr">
        <is>
          <t>USD/mo</t>
        </is>
      </c>
      <c r="D59" t="inlineStr"/>
    </row>
    <row r="60">
      <c r="A60" s="3" t="inlineStr">
        <is>
          <t>Domain / SSL / Misc</t>
        </is>
      </c>
      <c r="B60" s="7" t="n">
        <v>20</v>
      </c>
      <c r="C60" s="5" t="inlineStr">
        <is>
          <t>USD/mo</t>
        </is>
      </c>
      <c r="D60" t="inlineStr"/>
    </row>
    <row r="61">
      <c r="A61" t="inlineStr"/>
    </row>
    <row r="62">
      <c r="A62" s="2" t="inlineStr">
        <is>
          <t>PLATFORM FEES</t>
        </is>
      </c>
    </row>
    <row r="63">
      <c r="A63" s="3" t="inlineStr">
        <is>
          <t>Apple App Store Commission</t>
        </is>
      </c>
      <c r="B63" s="6" t="n">
        <v>0.15</v>
      </c>
      <c r="C63" s="5" t="inlineStr">
        <is>
          <t>%</t>
        </is>
      </c>
      <c r="D63" t="inlineStr">
        <is>
          <t>Small Business Program</t>
        </is>
      </c>
    </row>
    <row r="64">
      <c r="A64" s="3" t="inlineStr">
        <is>
          <t>Google Play Commission</t>
        </is>
      </c>
      <c r="B64" s="6" t="n">
        <v>0.15</v>
      </c>
      <c r="C64" s="5" t="inlineStr">
        <is>
          <t>%</t>
        </is>
      </c>
      <c r="D64" t="inlineStr">
        <is>
          <t>Reduced service fee</t>
        </is>
      </c>
    </row>
    <row r="65">
      <c r="A65" s="3" t="inlineStr">
        <is>
          <t>Stripe Processing %</t>
        </is>
      </c>
      <c r="B65" s="10" t="n">
        <v>0.029</v>
      </c>
      <c r="C65" s="5" t="inlineStr">
        <is>
          <t>%</t>
        </is>
      </c>
      <c r="D65" t="inlineStr">
        <is>
          <t>stripe.com/pricing</t>
        </is>
      </c>
    </row>
    <row r="66">
      <c r="A66" s="3" t="inlineStr">
        <is>
          <t>Stripe Flat Fee</t>
        </is>
      </c>
      <c r="B66" s="4" t="n">
        <v>0.3</v>
      </c>
      <c r="C66" s="5" t="inlineStr">
        <is>
          <t>USD/txn</t>
        </is>
      </c>
      <c r="D66" t="inlineStr"/>
    </row>
    <row r="67">
      <c r="A67" s="3" t="inlineStr">
        <is>
          <t>Mobile Revenue — iOS %</t>
        </is>
      </c>
      <c r="B67" s="6" t="n">
        <v>0.6</v>
      </c>
      <c r="C67" s="5" t="inlineStr">
        <is>
          <t>%</t>
        </is>
      </c>
      <c r="D67" t="inlineStr"/>
    </row>
    <row r="68">
      <c r="A68" s="3" t="inlineStr">
        <is>
          <t>Mobile Revenue — Android %</t>
        </is>
      </c>
      <c r="B68" s="6" t="n">
        <v>0.4</v>
      </c>
      <c r="C68" s="5" t="inlineStr">
        <is>
          <t>%</t>
        </is>
      </c>
      <c r="D68" t="inlineStr"/>
    </row>
    <row r="69">
      <c r="A69" s="3" t="inlineStr">
        <is>
          <t>Mobile vs Web — Mobile %</t>
        </is>
      </c>
      <c r="B69" s="6" t="n">
        <v>0.7</v>
      </c>
      <c r="C69" s="5" t="inlineStr">
        <is>
          <t>%</t>
        </is>
      </c>
      <c r="D69" t="inlineStr"/>
    </row>
    <row r="70">
      <c r="A70" s="3" t="inlineStr">
        <is>
          <t>Apple Developer Annual</t>
        </is>
      </c>
      <c r="B70" s="7" t="n">
        <v>99</v>
      </c>
      <c r="C70" s="5" t="inlineStr">
        <is>
          <t>USD/yr</t>
        </is>
      </c>
      <c r="D70" t="inlineStr"/>
    </row>
    <row r="71">
      <c r="A71" s="3" t="inlineStr">
        <is>
          <t>Google Play Registration</t>
        </is>
      </c>
      <c r="B71" s="7" t="n">
        <v>25</v>
      </c>
      <c r="C71" s="5" t="inlineStr">
        <is>
          <t>USD</t>
        </is>
      </c>
      <c r="D71" t="inlineStr">
        <is>
          <t>One-time</t>
        </is>
      </c>
    </row>
    <row r="72">
      <c r="A72" t="inlineStr"/>
    </row>
    <row r="73">
      <c r="A73" s="2" t="inlineStr">
        <is>
          <t>MARKETING</t>
        </is>
      </c>
    </row>
    <row r="74">
      <c r="A74" s="3" t="inlineStr">
        <is>
          <t>Marketing Launch Month</t>
        </is>
      </c>
      <c r="B74" s="7" t="n">
        <v>2</v>
      </c>
      <c r="C74" s="5" t="inlineStr">
        <is>
          <t>0-based</t>
        </is>
      </c>
      <c r="D74" t="inlineStr">
        <is>
          <t>Mid-June 2026 app launch</t>
        </is>
      </c>
    </row>
    <row r="75">
      <c r="A75" s="3" t="inlineStr">
        <is>
          <t>Blended CAC Target</t>
        </is>
      </c>
      <c r="B75" s="4" t="n">
        <v>2.5</v>
      </c>
      <c r="C75" s="5" t="inlineStr">
        <is>
          <t>USD</t>
        </is>
      </c>
      <c r="D75" t="inlineStr">
        <is>
          <t>Organic/community-driven</t>
        </is>
      </c>
    </row>
    <row r="76">
      <c r="A76" t="inlineStr"/>
    </row>
    <row r="77">
      <c r="A77" t="inlineStr">
        <is>
          <t>CONTENT / INFLUENCER MARKETING (Monthly Lump Sums)</t>
        </is>
      </c>
    </row>
    <row r="78">
      <c r="A78" s="3" t="inlineStr">
        <is>
          <t xml:space="preserve">  Influencer Spend — Apr-26</t>
        </is>
      </c>
      <c r="B78" s="7" t="n">
        <v>0</v>
      </c>
      <c r="C78" s="5" t="inlineStr">
        <is>
          <t>USD</t>
        </is>
      </c>
      <c r="D78" t="inlineStr">
        <is>
          <t>Lump-sum influencer payment</t>
        </is>
      </c>
    </row>
    <row r="79">
      <c r="A79" s="3" t="inlineStr">
        <is>
          <t xml:space="preserve">  Influencer Spend — May-26</t>
        </is>
      </c>
      <c r="B79" s="7" t="n">
        <v>0</v>
      </c>
      <c r="C79" s="5" t="inlineStr">
        <is>
          <t>USD</t>
        </is>
      </c>
      <c r="D79" t="inlineStr">
        <is>
          <t>Lump-sum influencer payment</t>
        </is>
      </c>
    </row>
    <row r="80">
      <c r="A80" s="3" t="inlineStr">
        <is>
          <t xml:space="preserve">  Influencer Spend — Jun-26</t>
        </is>
      </c>
      <c r="B80" s="7" t="n">
        <v>500</v>
      </c>
      <c r="C80" s="5" t="inlineStr">
        <is>
          <t>USD</t>
        </is>
      </c>
      <c r="D80" t="inlineStr">
        <is>
          <t>Lump-sum influencer payment</t>
        </is>
      </c>
    </row>
    <row r="81">
      <c r="A81" s="3" t="inlineStr">
        <is>
          <t xml:space="preserve">  Influencer Spend — Jul-26</t>
        </is>
      </c>
      <c r="B81" s="7" t="n">
        <v>0</v>
      </c>
      <c r="C81" s="5" t="inlineStr">
        <is>
          <t>USD</t>
        </is>
      </c>
      <c r="D81" t="inlineStr">
        <is>
          <t>Lump-sum influencer payment</t>
        </is>
      </c>
    </row>
    <row r="82">
      <c r="A82" s="3" t="inlineStr">
        <is>
          <t xml:space="preserve">  Influencer Spend — Aug-26</t>
        </is>
      </c>
      <c r="B82" s="7" t="n">
        <v>0</v>
      </c>
      <c r="C82" s="5" t="inlineStr">
        <is>
          <t>USD</t>
        </is>
      </c>
      <c r="D82" t="inlineStr">
        <is>
          <t>Lump-sum influencer payment</t>
        </is>
      </c>
    </row>
    <row r="83">
      <c r="A83" s="3" t="inlineStr">
        <is>
          <t xml:space="preserve">  Influencer Spend — Sep-26</t>
        </is>
      </c>
      <c r="B83" s="7" t="n">
        <v>1500</v>
      </c>
      <c r="C83" s="5" t="inlineStr">
        <is>
          <t>USD</t>
        </is>
      </c>
      <c r="D83" t="inlineStr">
        <is>
          <t>Lump-sum influencer payment</t>
        </is>
      </c>
    </row>
    <row r="84">
      <c r="A84" s="3" t="inlineStr">
        <is>
          <t xml:space="preserve">  Influencer Spend — Oct-26</t>
        </is>
      </c>
      <c r="B84" s="7" t="n">
        <v>0</v>
      </c>
      <c r="C84" s="5" t="inlineStr">
        <is>
          <t>USD</t>
        </is>
      </c>
      <c r="D84" t="inlineStr">
        <is>
          <t>Lump-sum influencer payment</t>
        </is>
      </c>
    </row>
    <row r="85">
      <c r="A85" s="3" t="inlineStr">
        <is>
          <t xml:space="preserve">  Influencer Spend — Nov-26</t>
        </is>
      </c>
      <c r="B85" s="7" t="n">
        <v>0</v>
      </c>
      <c r="C85" s="5" t="inlineStr">
        <is>
          <t>USD</t>
        </is>
      </c>
      <c r="D85" t="inlineStr">
        <is>
          <t>Lump-sum influencer payment</t>
        </is>
      </c>
    </row>
    <row r="86">
      <c r="A86" s="3" t="inlineStr">
        <is>
          <t xml:space="preserve">  Influencer Spend — Dec-26</t>
        </is>
      </c>
      <c r="B86" s="7" t="n">
        <v>0</v>
      </c>
      <c r="C86" s="5" t="inlineStr">
        <is>
          <t>USD</t>
        </is>
      </c>
      <c r="D86" t="inlineStr">
        <is>
          <t>Lump-sum influencer payment</t>
        </is>
      </c>
    </row>
    <row r="87">
      <c r="A87" s="3" t="inlineStr">
        <is>
          <t xml:space="preserve">  Influencer Spend — Jan-27</t>
        </is>
      </c>
      <c r="B87" s="7" t="n">
        <v>0</v>
      </c>
      <c r="C87" s="5" t="inlineStr">
        <is>
          <t>USD</t>
        </is>
      </c>
      <c r="D87" t="inlineStr">
        <is>
          <t>Lump-sum influencer payment</t>
        </is>
      </c>
    </row>
    <row r="88">
      <c r="A88" s="3" t="inlineStr">
        <is>
          <t xml:space="preserve">  Influencer Spend — Feb-27</t>
        </is>
      </c>
      <c r="B88" s="7" t="n">
        <v>0</v>
      </c>
      <c r="C88" s="5" t="inlineStr">
        <is>
          <t>USD</t>
        </is>
      </c>
      <c r="D88" t="inlineStr">
        <is>
          <t>Lump-sum influencer payment</t>
        </is>
      </c>
    </row>
    <row r="89">
      <c r="A89" s="3" t="inlineStr">
        <is>
          <t xml:space="preserve">  Influencer Spend — Mar-27</t>
        </is>
      </c>
      <c r="B89" s="7" t="n">
        <v>0</v>
      </c>
      <c r="C89" s="5" t="inlineStr">
        <is>
          <t>USD</t>
        </is>
      </c>
      <c r="D89" t="inlineStr">
        <is>
          <t>Lump-sum influencer payment</t>
        </is>
      </c>
    </row>
    <row r="90">
      <c r="A90" s="3" t="inlineStr">
        <is>
          <t xml:space="preserve">  Influencer Spend — Apr-27</t>
        </is>
      </c>
      <c r="B90" s="7" t="n">
        <v>0</v>
      </c>
      <c r="C90" s="5" t="inlineStr">
        <is>
          <t>USD</t>
        </is>
      </c>
      <c r="D90" t="inlineStr">
        <is>
          <t>Lump-sum influencer payment</t>
        </is>
      </c>
    </row>
    <row r="91">
      <c r="A91" s="3" t="inlineStr">
        <is>
          <t xml:space="preserve">  Influencer Spend — May-27</t>
        </is>
      </c>
      <c r="B91" s="7" t="n">
        <v>0</v>
      </c>
      <c r="C91" s="5" t="inlineStr">
        <is>
          <t>USD</t>
        </is>
      </c>
      <c r="D91" t="inlineStr">
        <is>
          <t>Lump-sum influencer payment</t>
        </is>
      </c>
    </row>
    <row r="92">
      <c r="A92" s="3" t="inlineStr">
        <is>
          <t xml:space="preserve">  Influencer Spend — Jun-27</t>
        </is>
      </c>
      <c r="B92" s="7" t="n">
        <v>2000</v>
      </c>
      <c r="C92" s="5" t="inlineStr">
        <is>
          <t>USD</t>
        </is>
      </c>
      <c r="D92" t="inlineStr">
        <is>
          <t>Lump-sum influencer payment</t>
        </is>
      </c>
    </row>
    <row r="93">
      <c r="A93" s="3" t="inlineStr">
        <is>
          <t xml:space="preserve">  Influencer Spend — Jul-27</t>
        </is>
      </c>
      <c r="B93" s="7" t="n">
        <v>0</v>
      </c>
      <c r="C93" s="5" t="inlineStr">
        <is>
          <t>USD</t>
        </is>
      </c>
      <c r="D93" t="inlineStr">
        <is>
          <t>Lump-sum influencer payment</t>
        </is>
      </c>
    </row>
    <row r="94">
      <c r="A94" s="3" t="inlineStr">
        <is>
          <t xml:space="preserve">  Influencer Spend — Aug-27</t>
        </is>
      </c>
      <c r="B94" s="7" t="n">
        <v>2500</v>
      </c>
      <c r="C94" s="5" t="inlineStr">
        <is>
          <t>USD</t>
        </is>
      </c>
      <c r="D94" t="inlineStr">
        <is>
          <t>Lump-sum influencer payment</t>
        </is>
      </c>
    </row>
    <row r="95">
      <c r="A95" s="3" t="inlineStr">
        <is>
          <t xml:space="preserve">  Influencer Spend — Sep-27</t>
        </is>
      </c>
      <c r="B95" s="7" t="n">
        <v>3000</v>
      </c>
      <c r="C95" s="5" t="inlineStr">
        <is>
          <t>USD</t>
        </is>
      </c>
      <c r="D95" t="inlineStr">
        <is>
          <t>Lump-sum influencer payment</t>
        </is>
      </c>
    </row>
    <row r="96">
      <c r="A96" s="3" t="inlineStr">
        <is>
          <t xml:space="preserve">  Influencer Spend — Oct-27</t>
        </is>
      </c>
      <c r="B96" s="7" t="n">
        <v>3000</v>
      </c>
      <c r="C96" s="5" t="inlineStr">
        <is>
          <t>USD</t>
        </is>
      </c>
      <c r="D96" t="inlineStr">
        <is>
          <t>Lump-sum influencer payment</t>
        </is>
      </c>
    </row>
    <row r="97">
      <c r="A97" s="3" t="inlineStr">
        <is>
          <t xml:space="preserve">  Influencer Spend — Nov-27</t>
        </is>
      </c>
      <c r="B97" s="7" t="n">
        <v>0</v>
      </c>
      <c r="C97" s="5" t="inlineStr">
        <is>
          <t>USD</t>
        </is>
      </c>
      <c r="D97" t="inlineStr">
        <is>
          <t>Lump-sum influencer payment</t>
        </is>
      </c>
    </row>
    <row r="98">
      <c r="A98" s="3" t="inlineStr">
        <is>
          <t xml:space="preserve">  Influencer Spend — Dec-27</t>
        </is>
      </c>
      <c r="B98" s="7" t="n">
        <v>2000</v>
      </c>
      <c r="C98" s="5" t="inlineStr">
        <is>
          <t>USD</t>
        </is>
      </c>
      <c r="D98" t="inlineStr">
        <is>
          <t>Lump-sum influencer payment</t>
        </is>
      </c>
    </row>
    <row r="99">
      <c r="A99" s="3" t="inlineStr">
        <is>
          <t xml:space="preserve">  Influencer Spend — Jan-28</t>
        </is>
      </c>
      <c r="B99" s="7" t="n">
        <v>0</v>
      </c>
      <c r="C99" s="5" t="inlineStr">
        <is>
          <t>USD</t>
        </is>
      </c>
      <c r="D99" t="inlineStr">
        <is>
          <t>Lump-sum influencer payment</t>
        </is>
      </c>
    </row>
    <row r="100">
      <c r="A100" s="3" t="inlineStr">
        <is>
          <t xml:space="preserve">  Influencer Spend — Feb-28</t>
        </is>
      </c>
      <c r="B100" s="7" t="n">
        <v>0</v>
      </c>
      <c r="C100" s="5" t="inlineStr">
        <is>
          <t>USD</t>
        </is>
      </c>
      <c r="D100" t="inlineStr">
        <is>
          <t>Lump-sum influencer payment</t>
        </is>
      </c>
    </row>
    <row r="101">
      <c r="A101" s="3" t="inlineStr">
        <is>
          <t xml:space="preserve">  Influencer Spend — Mar-28</t>
        </is>
      </c>
      <c r="B101" s="7" t="n">
        <v>0</v>
      </c>
      <c r="C101" s="5" t="inlineStr">
        <is>
          <t>USD</t>
        </is>
      </c>
      <c r="D101" t="inlineStr">
        <is>
          <t>Lump-sum influencer payment</t>
        </is>
      </c>
    </row>
    <row r="102">
      <c r="A102" t="inlineStr"/>
    </row>
    <row r="103">
      <c r="A103" s="2" t="inlineStr">
        <is>
          <t>TEAM</t>
        </is>
      </c>
    </row>
    <row r="104">
      <c r="A104" s="3" t="inlineStr">
        <is>
          <t>Months 1-6 (Solo Founder)</t>
        </is>
      </c>
      <c r="B104" s="7" t="n">
        <v>0</v>
      </c>
      <c r="C104" s="5" t="inlineStr">
        <is>
          <t>USD/mo</t>
        </is>
      </c>
      <c r="D104" t="inlineStr">
        <is>
          <t>Bootstrapped</t>
        </is>
      </c>
    </row>
    <row r="105">
      <c r="A105" s="3" t="inlineStr">
        <is>
          <t>Months 7-12 (1 PT Contractor)</t>
        </is>
      </c>
      <c r="B105" s="7" t="n">
        <v>1500</v>
      </c>
      <c r="C105" s="5" t="inlineStr">
        <is>
          <t>USD/mo</t>
        </is>
      </c>
      <c r="D105" t="inlineStr"/>
    </row>
    <row r="106">
      <c r="A106" s="3" t="inlineStr">
        <is>
          <t>Months 13-18 (1-2 Contractors)</t>
        </is>
      </c>
      <c r="B106" s="7" t="n">
        <v>3000</v>
      </c>
      <c r="C106" s="5" t="inlineStr">
        <is>
          <t>USD/mo</t>
        </is>
      </c>
      <c r="D106" t="inlineStr"/>
    </row>
    <row r="107">
      <c r="A107" s="3" t="inlineStr">
        <is>
          <t>Months 19-24 (Small Team)</t>
        </is>
      </c>
      <c r="B107" s="7" t="n">
        <v>6000</v>
      </c>
      <c r="C107" s="5" t="inlineStr">
        <is>
          <t>USD/mo</t>
        </is>
      </c>
      <c r="D107" t="inlineStr"/>
    </row>
    <row r="108">
      <c r="A108" t="inlineStr"/>
    </row>
    <row r="109">
      <c r="A109" s="2" t="inlineStr">
        <is>
          <t>LEGAL / ACCOUNTING</t>
        </is>
      </c>
    </row>
    <row r="110">
      <c r="A110" s="3" t="inlineStr">
        <is>
          <t>Year 1 (Basic)</t>
        </is>
      </c>
      <c r="B110" s="7" t="n">
        <v>100</v>
      </c>
      <c r="C110" s="5" t="inlineStr">
        <is>
          <t>USD/mo</t>
        </is>
      </c>
      <c r="D110" t="inlineStr">
        <is>
          <t>Bookkeeping, tax prep only</t>
        </is>
      </c>
    </row>
    <row r="111">
      <c r="A111" s="3" t="inlineStr">
        <is>
          <t>Year 2 (Basic)</t>
        </is>
      </c>
      <c r="B111" s="7" t="n">
        <v>300</v>
      </c>
      <c r="C111" s="5" t="inlineStr">
        <is>
          <t>USD/mo</t>
        </is>
      </c>
      <c r="D111" t="inlineStr">
        <is>
          <t>Bookkeeping + general counsel</t>
        </is>
      </c>
    </row>
    <row r="112">
      <c r="A112" t="inlineStr"/>
    </row>
    <row r="113">
      <c r="A113" s="2" t="inlineStr">
        <is>
          <t>DFS COMPLIANCE — CANADA (NO LICENSE REQUIRED)</t>
        </is>
      </c>
    </row>
    <row r="114">
      <c r="A114" s="3" t="inlineStr">
        <is>
          <t>Compliance Threshold</t>
        </is>
      </c>
      <c r="B114" s="7" t="n">
        <v>100000</v>
      </c>
      <c r="C114" s="5" t="inlineStr">
        <is>
          <t>users</t>
        </is>
      </c>
      <c r="D114" t="inlineStr">
        <is>
          <t>Prudent compliance at scale</t>
        </is>
      </c>
    </row>
    <row r="115">
      <c r="A115" s="3" t="inlineStr">
        <is>
          <t>Legal Opinion / Skill-Game Defense</t>
        </is>
      </c>
      <c r="B115" s="7" t="n">
        <v>500</v>
      </c>
      <c r="C115" s="5" t="inlineStr">
        <is>
          <t>USD/mo</t>
        </is>
      </c>
      <c r="D115" t="inlineStr">
        <is>
          <t>s.206(1)(d) opinion amortized; NO license needed</t>
        </is>
      </c>
    </row>
    <row r="116">
      <c r="A116" s="3" t="inlineStr">
        <is>
          <t>FINTRAC AML Compliance</t>
        </is>
      </c>
      <c r="B116" s="7" t="n">
        <v>1000</v>
      </c>
      <c r="C116" s="5" t="inlineStr">
        <is>
          <t>USD/mo</t>
        </is>
      </c>
      <c r="D116" t="inlineStr">
        <is>
          <t>Prize pools &gt;$10K trigger reporting</t>
        </is>
      </c>
    </row>
    <row r="117">
      <c r="A117" s="3" t="inlineStr">
        <is>
          <t>Insurance (E&amp;O + Cyber)</t>
        </is>
      </c>
      <c r="B117" s="7" t="n">
        <v>500</v>
      </c>
      <c r="C117" s="5" t="inlineStr">
        <is>
          <t>USD/mo</t>
        </is>
      </c>
      <c r="D117" t="inlineStr">
        <is>
          <t>Standard biz insurance</t>
        </is>
      </c>
    </row>
    <row r="118">
      <c r="A118" s="3" t="inlineStr">
        <is>
          <t>Player Fund Segregation / Audit</t>
        </is>
      </c>
      <c r="B118" s="7" t="n">
        <v>500</v>
      </c>
      <c r="C118" s="5" t="inlineStr">
        <is>
          <t>USD/mo</t>
        </is>
      </c>
      <c r="D118" t="inlineStr">
        <is>
          <t>Trust account — best practice, not required</t>
        </is>
      </c>
    </row>
    <row r="119">
      <c r="A119" t="inlineStr"/>
    </row>
    <row r="120">
      <c r="A120" t="inlineStr">
        <is>
          <t>US DFS EXPANSION (Toggle)</t>
        </is>
      </c>
    </row>
    <row r="121">
      <c r="A121" s="3" t="inlineStr">
        <is>
          <t>US Expansion Launch Month</t>
        </is>
      </c>
      <c r="B121" s="7" t="n">
        <v>99</v>
      </c>
      <c r="C121" s="5" t="inlineStr">
        <is>
          <t>0-based</t>
        </is>
      </c>
      <c r="D121" t="inlineStr">
        <is>
          <t>Set to 99 = OFF; e.g. 18 = Oct-27</t>
        </is>
      </c>
    </row>
    <row r="122">
      <c r="A122" t="inlineStr"/>
    </row>
    <row r="123">
      <c r="A123" t="inlineStr">
        <is>
          <t xml:space="preserve">  STATE-BY-STATE LICENSING FEES (Year 1 / Annual)</t>
        </is>
      </c>
    </row>
    <row r="124">
      <c r="A124" s="3" t="inlineStr">
        <is>
          <t xml:space="preserve">  New York — Year 1</t>
        </is>
      </c>
      <c r="B124" s="7" t="n">
        <v>500000</v>
      </c>
      <c r="C124" s="5" t="inlineStr">
        <is>
          <t>USD</t>
        </is>
      </c>
      <c r="D124" t="inlineStr">
        <is>
          <t>NY Gaming Commission — most expensive state</t>
        </is>
      </c>
    </row>
    <row r="125">
      <c r="A125" s="3" t="inlineStr">
        <is>
          <t xml:space="preserve">  New York — Annual Renewal</t>
        </is>
      </c>
      <c r="B125" s="7" t="n">
        <v>50000</v>
      </c>
      <c r="C125" s="5" t="inlineStr">
        <is>
          <t>USD/yr</t>
        </is>
      </c>
      <c r="D125" t="inlineStr">
        <is>
          <t>NY Gaming Commission</t>
        </is>
      </c>
    </row>
    <row r="126">
      <c r="A126" s="3" t="inlineStr">
        <is>
          <t xml:space="preserve">  Massachusetts — Year 1</t>
        </is>
      </c>
      <c r="B126" s="7" t="n">
        <v>50000</v>
      </c>
      <c r="C126" s="5" t="inlineStr">
        <is>
          <t>USD</t>
        </is>
      </c>
      <c r="D126" t="inlineStr">
        <is>
          <t>MA Gaming Commission</t>
        </is>
      </c>
    </row>
    <row r="127">
      <c r="A127" s="3" t="inlineStr">
        <is>
          <t xml:space="preserve">  Massachusetts — Annual Renewal</t>
        </is>
      </c>
      <c r="B127" s="7" t="n">
        <v>50000</v>
      </c>
      <c r="C127" s="5" t="inlineStr">
        <is>
          <t>USD/yr</t>
        </is>
      </c>
      <c r="D127" t="inlineStr">
        <is>
          <t>MA Gaming Commission</t>
        </is>
      </c>
    </row>
    <row r="128">
      <c r="A128" s="3" t="inlineStr">
        <is>
          <t xml:space="preserve">  Virginia — Year 1</t>
        </is>
      </c>
      <c r="B128" s="7" t="n">
        <v>50000</v>
      </c>
      <c r="C128" s="5" t="inlineStr">
        <is>
          <t>USD</t>
        </is>
      </c>
      <c r="D128" t="inlineStr">
        <is>
          <t>VA Lottery</t>
        </is>
      </c>
    </row>
    <row r="129">
      <c r="A129" s="3" t="inlineStr">
        <is>
          <t xml:space="preserve">  Virginia — Annual Renewal</t>
        </is>
      </c>
      <c r="B129" s="7" t="n">
        <v>50000</v>
      </c>
      <c r="C129" s="5" t="inlineStr">
        <is>
          <t>USD/yr</t>
        </is>
      </c>
      <c r="D129" t="inlineStr">
        <is>
          <t>VA Lottery</t>
        </is>
      </c>
    </row>
    <row r="130">
      <c r="A130" s="3" t="inlineStr">
        <is>
          <t xml:space="preserve">  Tennessee — Year 1</t>
        </is>
      </c>
      <c r="B130" s="7" t="n">
        <v>50000</v>
      </c>
      <c r="C130" s="5" t="inlineStr">
        <is>
          <t>USD</t>
        </is>
      </c>
      <c r="D130" t="inlineStr">
        <is>
          <t>TN Secretary of State</t>
        </is>
      </c>
    </row>
    <row r="131">
      <c r="A131" s="3" t="inlineStr">
        <is>
          <t xml:space="preserve">  Tennessee — Annual Renewal</t>
        </is>
      </c>
      <c r="B131" s="7" t="n">
        <v>50000</v>
      </c>
      <c r="C131" s="5" t="inlineStr">
        <is>
          <t>USD/yr</t>
        </is>
      </c>
      <c r="D131" t="inlineStr">
        <is>
          <t>TN Secretary of State</t>
        </is>
      </c>
    </row>
    <row r="132">
      <c r="A132" s="3" t="inlineStr">
        <is>
          <t xml:space="preserve">  Indiana — Year 1</t>
        </is>
      </c>
      <c r="B132" s="7" t="n">
        <v>50000</v>
      </c>
      <c r="C132" s="5" t="inlineStr">
        <is>
          <t>USD</t>
        </is>
      </c>
      <c r="D132" t="inlineStr">
        <is>
          <t>IN Gaming Commission</t>
        </is>
      </c>
    </row>
    <row r="133">
      <c r="A133" s="3" t="inlineStr">
        <is>
          <t xml:space="preserve">  Indiana — Annual Renewal</t>
        </is>
      </c>
      <c r="B133" s="7" t="n">
        <v>5000</v>
      </c>
      <c r="C133" s="5" t="inlineStr">
        <is>
          <t>USD/yr</t>
        </is>
      </c>
      <c r="D133" t="inlineStr">
        <is>
          <t>IN Gaming Commission</t>
        </is>
      </c>
    </row>
    <row r="134">
      <c r="A134" s="3" t="inlineStr">
        <is>
          <t xml:space="preserve">  Pennsylvania — Year 1</t>
        </is>
      </c>
      <c r="B134" s="7" t="n">
        <v>50000</v>
      </c>
      <c r="C134" s="5" t="inlineStr">
        <is>
          <t>USD</t>
        </is>
      </c>
      <c r="D134" t="inlineStr">
        <is>
          <t>PA Gaming Control Board</t>
        </is>
      </c>
    </row>
    <row r="135">
      <c r="A135" s="3" t="inlineStr">
        <is>
          <t xml:space="preserve">  Pennsylvania — Annual Renewal</t>
        </is>
      </c>
      <c r="B135" s="7" t="n">
        <v>10000</v>
      </c>
      <c r="C135" s="5" t="inlineStr">
        <is>
          <t>USD/yr</t>
        </is>
      </c>
      <c r="D135" t="inlineStr">
        <is>
          <t>PA Gaming Control Board</t>
        </is>
      </c>
    </row>
    <row r="136">
      <c r="A136" s="3" t="inlineStr">
        <is>
          <t xml:space="preserve">  Connecticut — Year 1</t>
        </is>
      </c>
      <c r="B136" s="7" t="n">
        <v>15000</v>
      </c>
      <c r="C136" s="5" t="inlineStr">
        <is>
          <t>USD</t>
        </is>
      </c>
      <c r="D136" t="inlineStr">
        <is>
          <t>CT Dept Consumer Protection</t>
        </is>
      </c>
    </row>
    <row r="137">
      <c r="A137" s="3" t="inlineStr">
        <is>
          <t xml:space="preserve">  Connecticut — Annual Renewal</t>
        </is>
      </c>
      <c r="B137" s="7" t="n">
        <v>15000</v>
      </c>
      <c r="C137" s="5" t="inlineStr">
        <is>
          <t>USD/yr</t>
        </is>
      </c>
      <c r="D137" t="inlineStr">
        <is>
          <t>CT Dept Consumer Protection</t>
        </is>
      </c>
    </row>
    <row r="138">
      <c r="A138" s="3" t="inlineStr">
        <is>
          <t xml:space="preserve">  Colorado — Year 1</t>
        </is>
      </c>
      <c r="B138" s="7" t="n">
        <v>10000</v>
      </c>
      <c r="C138" s="5" t="inlineStr">
        <is>
          <t>USD</t>
        </is>
      </c>
      <c r="D138" t="inlineStr">
        <is>
          <t>CO Dept of Revenue</t>
        </is>
      </c>
    </row>
    <row r="139">
      <c r="A139" s="3" t="inlineStr">
        <is>
          <t xml:space="preserve">  Colorado — Annual Renewal</t>
        </is>
      </c>
      <c r="B139" s="7" t="n">
        <v>10000</v>
      </c>
      <c r="C139" s="5" t="inlineStr">
        <is>
          <t>USD/yr</t>
        </is>
      </c>
      <c r="D139" t="inlineStr">
        <is>
          <t>CO Dept of Revenue</t>
        </is>
      </c>
    </row>
    <row r="140">
      <c r="A140" s="3" t="inlineStr">
        <is>
          <t xml:space="preserve">  Illinois — Year 1</t>
        </is>
      </c>
      <c r="B140" s="7" t="n">
        <v>10000</v>
      </c>
      <c r="C140" s="5" t="inlineStr">
        <is>
          <t>USD</t>
        </is>
      </c>
      <c r="D140" t="inlineStr">
        <is>
          <t>IL Gaming Board</t>
        </is>
      </c>
    </row>
    <row r="141">
      <c r="A141" s="3" t="inlineStr">
        <is>
          <t xml:space="preserve">  Illinois — Annual Renewal</t>
        </is>
      </c>
      <c r="B141" s="7" t="n">
        <v>10000</v>
      </c>
      <c r="C141" s="5" t="inlineStr">
        <is>
          <t>USD/yr</t>
        </is>
      </c>
      <c r="D141" t="inlineStr">
        <is>
          <t>IL Gaming Board</t>
        </is>
      </c>
    </row>
    <row r="142">
      <c r="A142" s="3" t="inlineStr">
        <is>
          <t xml:space="preserve">  Missouri — Year 1</t>
        </is>
      </c>
      <c r="B142" s="7" t="n">
        <v>10000</v>
      </c>
      <c r="C142" s="5" t="inlineStr">
        <is>
          <t>USD</t>
        </is>
      </c>
      <c r="D142" t="inlineStr">
        <is>
          <t>MO Gaming Commission</t>
        </is>
      </c>
    </row>
    <row r="143">
      <c r="A143" s="3" t="inlineStr">
        <is>
          <t xml:space="preserve">  Missouri — Annual Renewal</t>
        </is>
      </c>
      <c r="B143" s="7" t="n">
        <v>10000</v>
      </c>
      <c r="C143" s="5" t="inlineStr">
        <is>
          <t>USD/yr</t>
        </is>
      </c>
      <c r="D143" t="inlineStr">
        <is>
          <t>MO Gaming Commission</t>
        </is>
      </c>
    </row>
    <row r="144">
      <c r="A144" s="3" t="inlineStr">
        <is>
          <t xml:space="preserve">  Oregon — Year 1</t>
        </is>
      </c>
      <c r="B144" s="7" t="n">
        <v>10000</v>
      </c>
      <c r="C144" s="5" t="inlineStr">
        <is>
          <t>USD</t>
        </is>
      </c>
      <c r="D144" t="inlineStr">
        <is>
          <t>OR Dept of Justice</t>
        </is>
      </c>
    </row>
    <row r="145">
      <c r="A145" s="3" t="inlineStr">
        <is>
          <t xml:space="preserve">  Oregon — Annual Renewal</t>
        </is>
      </c>
      <c r="B145" s="7" t="n">
        <v>10000</v>
      </c>
      <c r="C145" s="5" t="inlineStr">
        <is>
          <t>USD/yr</t>
        </is>
      </c>
      <c r="D145" t="inlineStr">
        <is>
          <t>OR Dept of Justice</t>
        </is>
      </c>
    </row>
    <row r="146">
      <c r="A146" s="3" t="inlineStr">
        <is>
          <t xml:space="preserve">  Maryland — Year 1</t>
        </is>
      </c>
      <c r="B146" s="7" t="n">
        <v>5000</v>
      </c>
      <c r="C146" s="5" t="inlineStr">
        <is>
          <t>USD</t>
        </is>
      </c>
      <c r="D146" t="inlineStr">
        <is>
          <t>MD Lottery &amp; Gaming</t>
        </is>
      </c>
    </row>
    <row r="147">
      <c r="A147" s="3" t="inlineStr">
        <is>
          <t xml:space="preserve">  Maryland — Annual Renewal</t>
        </is>
      </c>
      <c r="B147" s="7" t="n">
        <v>5000</v>
      </c>
      <c r="C147" s="5" t="inlineStr">
        <is>
          <t>USD/yr</t>
        </is>
      </c>
      <c r="D147" t="inlineStr">
        <is>
          <t>MD Lottery &amp; Gaming</t>
        </is>
      </c>
    </row>
    <row r="148">
      <c r="A148" s="3" t="inlineStr">
        <is>
          <t xml:space="preserve">  Kansas — Year 1</t>
        </is>
      </c>
      <c r="B148" s="7" t="n">
        <v>5000</v>
      </c>
      <c r="C148" s="5" t="inlineStr">
        <is>
          <t>USD</t>
        </is>
      </c>
      <c r="D148" t="inlineStr">
        <is>
          <t>KS Attorney General</t>
        </is>
      </c>
    </row>
    <row r="149">
      <c r="A149" s="3" t="inlineStr">
        <is>
          <t xml:space="preserve">  Kansas — Annual Renewal</t>
        </is>
      </c>
      <c r="B149" s="7" t="n">
        <v>5000</v>
      </c>
      <c r="C149" s="5" t="inlineStr">
        <is>
          <t>USD/yr</t>
        </is>
      </c>
      <c r="D149" t="inlineStr">
        <is>
          <t>KS Attorney General</t>
        </is>
      </c>
    </row>
    <row r="150">
      <c r="A150" s="3" t="inlineStr">
        <is>
          <t xml:space="preserve">  Vermont — Year 1</t>
        </is>
      </c>
      <c r="B150" s="7" t="n">
        <v>5000</v>
      </c>
      <c r="C150" s="5" t="inlineStr">
        <is>
          <t>USD</t>
        </is>
      </c>
      <c r="D150" t="inlineStr">
        <is>
          <t>VT Attorney General</t>
        </is>
      </c>
    </row>
    <row r="151">
      <c r="A151" s="3" t="inlineStr">
        <is>
          <t xml:space="preserve">  Vermont — Annual Renewal</t>
        </is>
      </c>
      <c r="B151" s="7" t="n">
        <v>5000</v>
      </c>
      <c r="C151" s="5" t="inlineStr">
        <is>
          <t>USD/yr</t>
        </is>
      </c>
      <c r="D151" t="inlineStr">
        <is>
          <t>VT Attorney General</t>
        </is>
      </c>
    </row>
    <row r="152">
      <c r="A152" s="3" t="inlineStr">
        <is>
          <t xml:space="preserve">  Arkansas — Year 1</t>
        </is>
      </c>
      <c r="B152" s="7" t="n">
        <v>5000</v>
      </c>
      <c r="C152" s="5" t="inlineStr">
        <is>
          <t>USD</t>
        </is>
      </c>
      <c r="D152" t="inlineStr">
        <is>
          <t>AR Dept Finance &amp; Admin</t>
        </is>
      </c>
    </row>
    <row r="153">
      <c r="A153" s="3" t="inlineStr">
        <is>
          <t xml:space="preserve">  Arkansas — Annual Renewal</t>
        </is>
      </c>
      <c r="B153" s="7" t="n">
        <v>5000</v>
      </c>
      <c r="C153" s="5" t="inlineStr">
        <is>
          <t>USD/yr</t>
        </is>
      </c>
      <c r="D153" t="inlineStr">
        <is>
          <t>AR Dept Finance &amp; Admin</t>
        </is>
      </c>
    </row>
    <row r="154">
      <c r="A154" s="3" t="inlineStr">
        <is>
          <t xml:space="preserve">  Mississippi — Year 1</t>
        </is>
      </c>
      <c r="B154" s="7" t="n">
        <v>5000</v>
      </c>
      <c r="C154" s="5" t="inlineStr">
        <is>
          <t>USD</t>
        </is>
      </c>
      <c r="D154" t="inlineStr">
        <is>
          <t>MS Gaming Commission</t>
        </is>
      </c>
    </row>
    <row r="155">
      <c r="A155" s="3" t="inlineStr">
        <is>
          <t xml:space="preserve">  Mississippi — Annual Renewal</t>
        </is>
      </c>
      <c r="B155" s="7" t="n">
        <v>5000</v>
      </c>
      <c r="C155" s="5" t="inlineStr">
        <is>
          <t>USD/yr</t>
        </is>
      </c>
      <c r="D155" t="inlineStr">
        <is>
          <t>MS Gaming Commission</t>
        </is>
      </c>
    </row>
    <row r="156">
      <c r="A156" s="3" t="inlineStr">
        <is>
          <t xml:space="preserve">  New Hampshire — Year 1</t>
        </is>
      </c>
      <c r="B156" s="7" t="n">
        <v>5000</v>
      </c>
      <c r="C156" s="5" t="inlineStr">
        <is>
          <t>USD</t>
        </is>
      </c>
      <c r="D156" t="inlineStr">
        <is>
          <t>NH Lottery Commission</t>
        </is>
      </c>
    </row>
    <row r="157">
      <c r="A157" s="3" t="inlineStr">
        <is>
          <t xml:space="preserve">  New Hampshire — Annual Renewal</t>
        </is>
      </c>
      <c r="B157" s="7" t="n">
        <v>5000</v>
      </c>
      <c r="C157" s="5" t="inlineStr">
        <is>
          <t>USD/yr</t>
        </is>
      </c>
      <c r="D157" t="inlineStr">
        <is>
          <t>NH Lottery Commission</t>
        </is>
      </c>
    </row>
    <row r="158">
      <c r="A158" s="3" t="inlineStr">
        <is>
          <t xml:space="preserve">  Delaware — Year 1</t>
        </is>
      </c>
      <c r="B158" s="7" t="n">
        <v>5000</v>
      </c>
      <c r="C158" s="5" t="inlineStr">
        <is>
          <t>USD</t>
        </is>
      </c>
      <c r="D158" t="inlineStr">
        <is>
          <t>DE Dept of Finance</t>
        </is>
      </c>
    </row>
    <row r="159">
      <c r="A159" s="3" t="inlineStr">
        <is>
          <t xml:space="preserve">  Delaware — Annual Renewal</t>
        </is>
      </c>
      <c r="B159" s="7" t="n">
        <v>5000</v>
      </c>
      <c r="C159" s="5" t="inlineStr">
        <is>
          <t>USD/yr</t>
        </is>
      </c>
      <c r="D159" t="inlineStr">
        <is>
          <t>DE Dept of Finance</t>
        </is>
      </c>
    </row>
    <row r="160">
      <c r="A160" s="3" t="inlineStr">
        <is>
          <t xml:space="preserve">  Rhode Island — Year 1</t>
        </is>
      </c>
      <c r="B160" s="7" t="n">
        <v>5000</v>
      </c>
      <c r="C160" s="5" t="inlineStr">
        <is>
          <t>USD</t>
        </is>
      </c>
      <c r="D160" t="inlineStr">
        <is>
          <t>RI DBR</t>
        </is>
      </c>
    </row>
    <row r="161">
      <c r="A161" s="3" t="inlineStr">
        <is>
          <t xml:space="preserve">  Rhode Island — Annual Renewal</t>
        </is>
      </c>
      <c r="B161" s="7" t="n">
        <v>5000</v>
      </c>
      <c r="C161" s="5" t="inlineStr">
        <is>
          <t>USD/yr</t>
        </is>
      </c>
      <c r="D161" t="inlineStr">
        <is>
          <t>RI DBR</t>
        </is>
      </c>
    </row>
    <row r="162">
      <c r="A162" t="inlineStr"/>
    </row>
    <row r="163">
      <c r="A163" t="inlineStr">
        <is>
          <t xml:space="preserve">  US COMPLIANCE OVERHEAD (Annual)</t>
        </is>
      </c>
    </row>
    <row r="164">
      <c r="A164" s="3" t="inlineStr">
        <is>
          <t xml:space="preserve">  Multi-State Legal Counsel</t>
        </is>
      </c>
      <c r="B164" s="7" t="n">
        <v>150000</v>
      </c>
      <c r="C164" s="5" t="inlineStr">
        <is>
          <t>USD/yr</t>
        </is>
      </c>
      <c r="D164" t="inlineStr">
        <is>
          <t>DFS compliance firm</t>
        </is>
      </c>
    </row>
    <row r="165">
      <c r="A165" s="3" t="inlineStr">
        <is>
          <t xml:space="preserve">  Geolocation Vendor (GeoComply etc.)</t>
        </is>
      </c>
      <c r="B165" s="7" t="n">
        <v>50000</v>
      </c>
      <c r="C165" s="5" t="inlineStr">
        <is>
          <t>USD/yr</t>
        </is>
      </c>
      <c r="D165" t="inlineStr">
        <is>
          <t>Block banned states, verify regulated</t>
        </is>
      </c>
    </row>
    <row r="166">
      <c r="A166" s="3" t="inlineStr">
        <is>
          <t xml:space="preserve">  Independent Financial Audit</t>
        </is>
      </c>
      <c r="B166" s="7" t="n">
        <v>35000</v>
      </c>
      <c r="C166" s="5" t="inlineStr">
        <is>
          <t>USD/yr</t>
        </is>
      </c>
      <c r="D166" t="inlineStr">
        <is>
          <t>Required by most regulated states</t>
        </is>
      </c>
    </row>
    <row r="167">
      <c r="A167" s="3" t="inlineStr">
        <is>
          <t xml:space="preserve">  Responsible Gaming Program</t>
        </is>
      </c>
      <c r="B167" s="7" t="n">
        <v>20000</v>
      </c>
      <c r="C167" s="5" t="inlineStr">
        <is>
          <t>USD/yr</t>
        </is>
      </c>
      <c r="D167" t="inlineStr">
        <is>
          <t>Self-exclusion, limits, reporting</t>
        </is>
      </c>
    </row>
    <row r="168">
      <c r="A168" s="3" t="inlineStr">
        <is>
          <t xml:space="preserve">  State Reporting &amp; Filings</t>
        </is>
      </c>
      <c r="B168" s="7" t="n">
        <v>20000</v>
      </c>
      <c r="C168" s="5" t="inlineStr">
        <is>
          <t>USD/yr</t>
        </is>
      </c>
      <c r="D168" t="inlineStr">
        <is>
          <t>Annual filings, revenue reports</t>
        </is>
      </c>
    </row>
    <row r="169">
      <c r="A169" s="3" t="inlineStr">
        <is>
          <t xml:space="preserve">  Background Checks (Key Personnel)</t>
        </is>
      </c>
      <c r="B169" s="7" t="n">
        <v>10000</v>
      </c>
      <c r="C169" s="5" t="inlineStr">
        <is>
          <t>USD/yr</t>
        </is>
      </c>
      <c r="D169" t="inlineStr">
        <is>
          <t>Required for all licensed states</t>
        </is>
      </c>
    </row>
    <row r="170">
      <c r="A170" s="3" t="inlineStr">
        <is>
          <t xml:space="preserve">  NY Revenue Tax Rate</t>
        </is>
      </c>
      <c r="B170" s="6" t="n">
        <v>0.15</v>
      </c>
      <c r="C170" s="5" t="inlineStr">
        <is>
          <t>%</t>
        </is>
      </c>
      <c r="D170" t="inlineStr">
        <is>
          <t>~15% of DFS revenue from NY users</t>
        </is>
      </c>
    </row>
    <row r="171">
      <c r="A171" s="3" t="inlineStr">
        <is>
          <t xml:space="preserve">  Est. NY Revenue Share (% of total)</t>
        </is>
      </c>
      <c r="B171" s="6" t="n">
        <v>0.12</v>
      </c>
      <c r="C171" s="5" t="inlineStr">
        <is>
          <t>%</t>
        </is>
      </c>
      <c r="D171" t="inlineStr">
        <is>
          <t>NY ~12% of US DFS market</t>
        </is>
      </c>
    </row>
    <row r="172">
      <c r="A172" t="inlineStr"/>
    </row>
    <row r="173">
      <c r="A173" t="inlineStr">
        <is>
          <t>USER GROWTH / ACQUISITION (Monthly New Users)</t>
        </is>
      </c>
    </row>
    <row r="174">
      <c r="A174" s="3" t="inlineStr">
        <is>
          <t xml:space="preserve">  New Users — Apr-26</t>
        </is>
      </c>
      <c r="B174" s="7" t="n">
        <v>100</v>
      </c>
      <c r="C174" s="5" t="inlineStr">
        <is>
          <t>users</t>
        </is>
      </c>
      <c r="D174" t="inlineStr">
        <is>
          <t>Monthly new user target</t>
        </is>
      </c>
    </row>
    <row r="175">
      <c r="A175" s="3" t="inlineStr">
        <is>
          <t xml:space="preserve">  New Users — May-26</t>
        </is>
      </c>
      <c r="B175" s="7" t="n">
        <v>100</v>
      </c>
      <c r="C175" s="5" t="inlineStr">
        <is>
          <t>users</t>
        </is>
      </c>
      <c r="D175" t="inlineStr">
        <is>
          <t>Monthly new user target</t>
        </is>
      </c>
    </row>
    <row r="176">
      <c r="A176" s="3" t="inlineStr">
        <is>
          <t xml:space="preserve">  New Users — Jun-26</t>
        </is>
      </c>
      <c r="B176" s="7" t="n">
        <v>1500</v>
      </c>
      <c r="C176" s="5" t="inlineStr">
        <is>
          <t>users</t>
        </is>
      </c>
      <c r="D176" t="inlineStr">
        <is>
          <t>Monthly new user target</t>
        </is>
      </c>
    </row>
    <row r="177">
      <c r="A177" s="3" t="inlineStr">
        <is>
          <t xml:space="preserve">  New Users — Jul-26</t>
        </is>
      </c>
      <c r="B177" s="7" t="n">
        <v>3000</v>
      </c>
      <c r="C177" s="5" t="inlineStr">
        <is>
          <t>users</t>
        </is>
      </c>
      <c r="D177" t="inlineStr">
        <is>
          <t>Monthly new user target</t>
        </is>
      </c>
    </row>
    <row r="178">
      <c r="A178" s="3" t="inlineStr">
        <is>
          <t xml:space="preserve">  New Users — Aug-26</t>
        </is>
      </c>
      <c r="B178" s="7" t="n">
        <v>6000</v>
      </c>
      <c r="C178" s="5" t="inlineStr">
        <is>
          <t>users</t>
        </is>
      </c>
      <c r="D178" t="inlineStr">
        <is>
          <t>Monthly new user target</t>
        </is>
      </c>
    </row>
    <row r="179">
      <c r="A179" s="3" t="inlineStr">
        <is>
          <t xml:space="preserve">  New Users — Sep-26</t>
        </is>
      </c>
      <c r="B179" s="7" t="n">
        <v>10000</v>
      </c>
      <c r="C179" s="5" t="inlineStr">
        <is>
          <t>users</t>
        </is>
      </c>
      <c r="D179" t="inlineStr">
        <is>
          <t>Monthly new user target</t>
        </is>
      </c>
    </row>
    <row r="180">
      <c r="A180" s="3" t="inlineStr">
        <is>
          <t xml:space="preserve">  New Users — Oct-26</t>
        </is>
      </c>
      <c r="B180" s="7" t="n">
        <v>8000</v>
      </c>
      <c r="C180" s="5" t="inlineStr">
        <is>
          <t>users</t>
        </is>
      </c>
      <c r="D180" t="inlineStr">
        <is>
          <t>Monthly new user target</t>
        </is>
      </c>
    </row>
    <row r="181">
      <c r="A181" s="3" t="inlineStr">
        <is>
          <t xml:space="preserve">  New Users — Nov-26</t>
        </is>
      </c>
      <c r="B181" s="7" t="n">
        <v>5000</v>
      </c>
      <c r="C181" s="5" t="inlineStr">
        <is>
          <t>users</t>
        </is>
      </c>
      <c r="D181" t="inlineStr">
        <is>
          <t>Monthly new user target</t>
        </is>
      </c>
    </row>
    <row r="182">
      <c r="A182" s="3" t="inlineStr">
        <is>
          <t xml:space="preserve">  New Users — Dec-26</t>
        </is>
      </c>
      <c r="B182" s="7" t="n">
        <v>3000</v>
      </c>
      <c r="C182" s="5" t="inlineStr">
        <is>
          <t>users</t>
        </is>
      </c>
      <c r="D182" t="inlineStr">
        <is>
          <t>Monthly new user target</t>
        </is>
      </c>
    </row>
    <row r="183">
      <c r="A183" s="3" t="inlineStr">
        <is>
          <t xml:space="preserve">  New Users — Jan-27</t>
        </is>
      </c>
      <c r="B183" s="7" t="n">
        <v>2500</v>
      </c>
      <c r="C183" s="5" t="inlineStr">
        <is>
          <t>users</t>
        </is>
      </c>
      <c r="D183" t="inlineStr">
        <is>
          <t>Monthly new user target</t>
        </is>
      </c>
    </row>
    <row r="184">
      <c r="A184" s="3" t="inlineStr">
        <is>
          <t xml:space="preserve">  New Users — Feb-27</t>
        </is>
      </c>
      <c r="B184" s="7" t="n">
        <v>2000</v>
      </c>
      <c r="C184" s="5" t="inlineStr">
        <is>
          <t>users</t>
        </is>
      </c>
      <c r="D184" t="inlineStr">
        <is>
          <t>Monthly new user target</t>
        </is>
      </c>
    </row>
    <row r="185">
      <c r="A185" s="3" t="inlineStr">
        <is>
          <t xml:space="preserve">  New Users — Mar-27</t>
        </is>
      </c>
      <c r="B185" s="7" t="n">
        <v>1500</v>
      </c>
      <c r="C185" s="5" t="inlineStr">
        <is>
          <t>users</t>
        </is>
      </c>
      <c r="D185" t="inlineStr">
        <is>
          <t>Monthly new user target</t>
        </is>
      </c>
    </row>
    <row r="186">
      <c r="A186" s="3" t="inlineStr">
        <is>
          <t xml:space="preserve">  New Users — Apr-27</t>
        </is>
      </c>
      <c r="B186" s="7" t="n">
        <v>1500</v>
      </c>
      <c r="C186" s="5" t="inlineStr">
        <is>
          <t>users</t>
        </is>
      </c>
      <c r="D186" t="inlineStr">
        <is>
          <t>Monthly new user target</t>
        </is>
      </c>
    </row>
    <row r="187">
      <c r="A187" s="3" t="inlineStr">
        <is>
          <t xml:space="preserve">  New Users — May-27</t>
        </is>
      </c>
      <c r="B187" s="7" t="n">
        <v>2000</v>
      </c>
      <c r="C187" s="5" t="inlineStr">
        <is>
          <t>users</t>
        </is>
      </c>
      <c r="D187" t="inlineStr">
        <is>
          <t>Monthly new user target</t>
        </is>
      </c>
    </row>
    <row r="188">
      <c r="A188" s="3" t="inlineStr">
        <is>
          <t xml:space="preserve">  New Users — Jun-27</t>
        </is>
      </c>
      <c r="B188" s="7" t="n">
        <v>3000</v>
      </c>
      <c r="C188" s="5" t="inlineStr">
        <is>
          <t>users</t>
        </is>
      </c>
      <c r="D188" t="inlineStr">
        <is>
          <t>Monthly new user target</t>
        </is>
      </c>
    </row>
    <row r="189">
      <c r="A189" s="3" t="inlineStr">
        <is>
          <t xml:space="preserve">  New Users — Jul-27</t>
        </is>
      </c>
      <c r="B189" s="7" t="n">
        <v>5000</v>
      </c>
      <c r="C189" s="5" t="inlineStr">
        <is>
          <t>users</t>
        </is>
      </c>
      <c r="D189" t="inlineStr">
        <is>
          <t>Monthly new user target</t>
        </is>
      </c>
    </row>
    <row r="190">
      <c r="A190" s="3" t="inlineStr">
        <is>
          <t xml:space="preserve">  New Users — Aug-27</t>
        </is>
      </c>
      <c r="B190" s="7" t="n">
        <v>8000</v>
      </c>
      <c r="C190" s="5" t="inlineStr">
        <is>
          <t>users</t>
        </is>
      </c>
      <c r="D190" t="inlineStr">
        <is>
          <t>Monthly new user target</t>
        </is>
      </c>
    </row>
    <row r="191">
      <c r="A191" s="3" t="inlineStr">
        <is>
          <t xml:space="preserve">  New Users — Sep-27</t>
        </is>
      </c>
      <c r="B191" s="7" t="n">
        <v>12000</v>
      </c>
      <c r="C191" s="5" t="inlineStr">
        <is>
          <t>users</t>
        </is>
      </c>
      <c r="D191" t="inlineStr">
        <is>
          <t>Monthly new user target</t>
        </is>
      </c>
    </row>
    <row r="192">
      <c r="A192" s="3" t="inlineStr">
        <is>
          <t xml:space="preserve">  New Users — Oct-27</t>
        </is>
      </c>
      <c r="B192" s="7" t="n">
        <v>17000</v>
      </c>
      <c r="C192" s="5" t="inlineStr">
        <is>
          <t>users</t>
        </is>
      </c>
      <c r="D192" t="inlineStr">
        <is>
          <t>Monthly new user target</t>
        </is>
      </c>
    </row>
    <row r="193">
      <c r="A193" s="3" t="inlineStr">
        <is>
          <t xml:space="preserve">  New Users — Nov-27</t>
        </is>
      </c>
      <c r="B193" s="7" t="n">
        <v>20000</v>
      </c>
      <c r="C193" s="5" t="inlineStr">
        <is>
          <t>users</t>
        </is>
      </c>
      <c r="D193" t="inlineStr">
        <is>
          <t>Monthly new user target</t>
        </is>
      </c>
    </row>
    <row r="194">
      <c r="A194" s="3" t="inlineStr">
        <is>
          <t xml:space="preserve">  New Users — Dec-27</t>
        </is>
      </c>
      <c r="B194" s="7" t="n">
        <v>20000</v>
      </c>
      <c r="C194" s="5" t="inlineStr">
        <is>
          <t>users</t>
        </is>
      </c>
      <c r="D194" t="inlineStr">
        <is>
          <t>Monthly new user target</t>
        </is>
      </c>
    </row>
    <row r="195">
      <c r="A195" s="3" t="inlineStr">
        <is>
          <t xml:space="preserve">  New Users — Jan-28</t>
        </is>
      </c>
      <c r="B195" s="7" t="n">
        <v>18000</v>
      </c>
      <c r="C195" s="5" t="inlineStr">
        <is>
          <t>users</t>
        </is>
      </c>
      <c r="D195" t="inlineStr">
        <is>
          <t>Monthly new user target</t>
        </is>
      </c>
    </row>
    <row r="196">
      <c r="A196" s="3" t="inlineStr">
        <is>
          <t xml:space="preserve">  New Users — Feb-28</t>
        </is>
      </c>
      <c r="B196" s="7" t="n">
        <v>16000</v>
      </c>
      <c r="C196" s="5" t="inlineStr">
        <is>
          <t>users</t>
        </is>
      </c>
      <c r="D196" t="inlineStr">
        <is>
          <t>Monthly new user target</t>
        </is>
      </c>
    </row>
    <row r="197">
      <c r="A197" s="3" t="inlineStr">
        <is>
          <t xml:space="preserve">  New Users — Mar-28</t>
        </is>
      </c>
      <c r="B197" s="7" t="n">
        <v>13000</v>
      </c>
      <c r="C197" s="5" t="inlineStr">
        <is>
          <t>users</t>
        </is>
      </c>
      <c r="D197" t="inlineStr">
        <is>
          <t>Monthly new user target</t>
        </is>
      </c>
    </row>
    <row r="198">
      <c r="A198" t="inlineStr"/>
    </row>
    <row r="199">
      <c r="A199" s="2" t="inlineStr">
        <is>
          <t>CASH</t>
        </is>
      </c>
    </row>
    <row r="200">
      <c r="A200" s="3" t="inlineStr">
        <is>
          <t>Starting Cash</t>
        </is>
      </c>
      <c r="B200" s="7" t="n">
        <v>1000</v>
      </c>
      <c r="C200" s="5" t="inlineStr">
        <is>
          <t>USD</t>
        </is>
      </c>
      <c r="D200" t="inlineStr"/>
    </row>
    <row r="202">
      <c r="A202" t="inlineStr">
        <is>
          <t>MARKET REFERENCE (informational)</t>
        </is>
      </c>
    </row>
    <row r="203">
      <c r="A203" s="3" t="inlineStr">
        <is>
          <t>TAM — Fantasy Sports (2025)</t>
        </is>
      </c>
      <c r="B203" s="5" t="inlineStr">
        <is>
          <t>$32B+</t>
        </is>
      </c>
      <c r="C203" s="5" t="inlineStr">
        <is>
          <t>USD</t>
        </is>
      </c>
      <c r="D203" t="inlineStr">
        <is>
          <t>Mordor Intelligence</t>
        </is>
      </c>
    </row>
    <row r="204">
      <c r="A204" s="3" t="inlineStr">
        <is>
          <t>SAM — Fantasy Hockey Global</t>
        </is>
      </c>
      <c r="B204" s="5" t="inlineStr">
        <is>
          <t>$1-2B</t>
        </is>
      </c>
      <c r="C204" s="5" t="inlineStr">
        <is>
          <t>USD</t>
        </is>
      </c>
      <c r="D204" t="inlineStr">
        <is>
          <t>Industry estimates</t>
        </is>
      </c>
    </row>
    <row r="205">
      <c r="A205" s="3" t="inlineStr">
        <is>
          <t>Active Fantasy Hockey Players (NA)</t>
        </is>
      </c>
      <c r="B205" s="5" t="inlineStr">
        <is>
          <t>5,800,000</t>
        </is>
      </c>
      <c r="C205" s="5" t="inlineStr">
        <is>
          <t>Users</t>
        </is>
      </c>
      <c r="D205" t="inlineStr">
        <is>
          <t>FSGA industry data</t>
        </is>
      </c>
    </row>
    <row r="206">
      <c r="A206" s="3" t="inlineStr">
        <is>
          <t>NHL Fantasy CAGR</t>
        </is>
      </c>
      <c r="B206" s="5" t="inlineStr">
        <is>
          <t>14.6%</t>
        </is>
      </c>
      <c r="C206" s="5" t="inlineStr">
        <is>
          <t>%</t>
        </is>
      </c>
      <c r="D206" t="inlineStr">
        <is>
          <t>Mordor Intelligence</t>
        </is>
      </c>
    </row>
    <row r="207">
      <c r="A207" t="inlineStr"/>
    </row>
    <row r="208">
      <c r="A208" s="2" t="inlineStr">
        <is>
          <t>BENCHMARKS</t>
        </is>
      </c>
    </row>
    <row r="209">
      <c r="A209" s="3" t="inlineStr">
        <is>
          <t>Mobile Freemium Median</t>
        </is>
      </c>
      <c r="B209" s="5" t="inlineStr">
        <is>
          <t>2.18%</t>
        </is>
      </c>
      <c r="C209" s="5" t="inlineStr">
        <is>
          <t>%</t>
        </is>
      </c>
      <c r="D209" t="inlineStr">
        <is>
          <t>RevenueCat 2025</t>
        </is>
      </c>
    </row>
    <row r="210">
      <c r="A210" s="3" t="inlineStr">
        <is>
          <t>Sleeper Annual Retention</t>
        </is>
      </c>
      <c r="B210" s="5" t="inlineStr">
        <is>
          <t>75%</t>
        </is>
      </c>
      <c r="C210" s="5" t="inlineStr">
        <is>
          <t>%</t>
        </is>
      </c>
      <c r="D210" t="inlineStr">
        <is>
          <t>Sleeper Series C PR</t>
        </is>
      </c>
    </row>
    <row r="211">
      <c r="A211" s="3" t="inlineStr">
        <is>
          <t>DraftKings/FanDuel CAC</t>
        </is>
      </c>
      <c r="B211" s="5" t="inlineStr">
        <is>
          <t>$200-350</t>
        </is>
      </c>
      <c r="C211" s="5" t="inlineStr">
        <is>
          <t>USD</t>
        </is>
      </c>
      <c r="D211" t="inlineStr">
        <is>
          <t>BusinessOfApps</t>
        </is>
      </c>
    </row>
    <row r="212">
      <c r="A212" s="3" t="inlineStr">
        <is>
          <t>NA Mobile CPI</t>
        </is>
      </c>
      <c r="B212" s="5" t="inlineStr">
        <is>
          <t>$5.28</t>
        </is>
      </c>
      <c r="C212" s="5" t="inlineStr">
        <is>
          <t>USD</t>
        </is>
      </c>
      <c r="D212" t="inlineStr">
        <is>
          <t>BusinessOfApps</t>
        </is>
      </c>
    </row>
    <row r="214">
      <c r="A214" s="11" t="inlineStr">
        <is>
          <t>Edit any yellow cell above to recalculate the entire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Metric</t>
        </is>
      </c>
      <c r="B1" s="1" t="inlineStr">
        <is>
          <t>Apr-26</t>
        </is>
      </c>
      <c r="C1" s="1" t="inlineStr">
        <is>
          <t>May-26</t>
        </is>
      </c>
      <c r="D1" s="1" t="inlineStr">
        <is>
          <t>Jun-26</t>
        </is>
      </c>
      <c r="E1" s="1" t="inlineStr">
        <is>
          <t>Jul-26</t>
        </is>
      </c>
      <c r="F1" s="1" t="inlineStr">
        <is>
          <t>Aug-26</t>
        </is>
      </c>
      <c r="G1" s="1" t="inlineStr">
        <is>
          <t>Sep-26</t>
        </is>
      </c>
      <c r="H1" s="1" t="inlineStr">
        <is>
          <t>Oct-26</t>
        </is>
      </c>
      <c r="I1" s="1" t="inlineStr">
        <is>
          <t>Nov-26</t>
        </is>
      </c>
      <c r="J1" s="1" t="inlineStr">
        <is>
          <t>Dec-26</t>
        </is>
      </c>
      <c r="K1" s="1" t="inlineStr">
        <is>
          <t>Jan-27</t>
        </is>
      </c>
      <c r="L1" s="1" t="inlineStr">
        <is>
          <t>Feb-27</t>
        </is>
      </c>
      <c r="M1" s="1" t="inlineStr">
        <is>
          <t>Mar-27</t>
        </is>
      </c>
      <c r="N1" s="1" t="inlineStr">
        <is>
          <t>Apr-27</t>
        </is>
      </c>
      <c r="O1" s="1" t="inlineStr">
        <is>
          <t>May-27</t>
        </is>
      </c>
      <c r="P1" s="1" t="inlineStr">
        <is>
          <t>Jun-27</t>
        </is>
      </c>
      <c r="Q1" s="1" t="inlineStr">
        <is>
          <t>Jul-27</t>
        </is>
      </c>
      <c r="R1" s="1" t="inlineStr">
        <is>
          <t>Aug-27</t>
        </is>
      </c>
      <c r="S1" s="1" t="inlineStr">
        <is>
          <t>Sep-27</t>
        </is>
      </c>
      <c r="T1" s="1" t="inlineStr">
        <is>
          <t>Oct-27</t>
        </is>
      </c>
      <c r="U1" s="1" t="inlineStr">
        <is>
          <t>Nov-27</t>
        </is>
      </c>
      <c r="V1" s="1" t="inlineStr">
        <is>
          <t>Dec-27</t>
        </is>
      </c>
      <c r="W1" s="1" t="inlineStr">
        <is>
          <t>Jan-28</t>
        </is>
      </c>
      <c r="X1" s="1" t="inlineStr">
        <is>
          <t>Feb-28</t>
        </is>
      </c>
      <c r="Y1" s="1" t="inlineStr">
        <is>
          <t>Mar-28</t>
        </is>
      </c>
    </row>
    <row r="2">
      <c r="A2" s="12" t="inlineStr">
        <is>
          <t>NHL Season Status</t>
        </is>
      </c>
      <c r="B2" s="13" t="inlineStr">
        <is>
          <t>OFF-SEASON</t>
        </is>
      </c>
      <c r="C2" s="13" t="inlineStr">
        <is>
          <t>OFF-SEASON</t>
        </is>
      </c>
      <c r="D2" s="13" t="inlineStr">
        <is>
          <t>OFF-SEASON</t>
        </is>
      </c>
      <c r="E2" s="13" t="inlineStr">
        <is>
          <t>OFF-SEASON</t>
        </is>
      </c>
      <c r="F2" s="13" t="inlineStr">
        <is>
          <t>OFF-SEASON</t>
        </is>
      </c>
      <c r="G2" s="13" t="inlineStr">
        <is>
          <t>OFF-SEASON</t>
        </is>
      </c>
      <c r="H2" s="14" t="inlineStr">
        <is>
          <t>IN-SEASON</t>
        </is>
      </c>
      <c r="I2" s="14" t="inlineStr">
        <is>
          <t>IN-SEASON</t>
        </is>
      </c>
      <c r="J2" s="14" t="inlineStr">
        <is>
          <t>IN-SEASON</t>
        </is>
      </c>
      <c r="K2" s="14" t="inlineStr">
        <is>
          <t>IN-SEASON</t>
        </is>
      </c>
      <c r="L2" s="14" t="inlineStr">
        <is>
          <t>IN-SEASON</t>
        </is>
      </c>
      <c r="M2" s="14" t="inlineStr">
        <is>
          <t>IN-SEASON</t>
        </is>
      </c>
      <c r="N2" s="13" t="inlineStr">
        <is>
          <t>OFF-SEASON</t>
        </is>
      </c>
      <c r="O2" s="13" t="inlineStr">
        <is>
          <t>OFF-SEASON</t>
        </is>
      </c>
      <c r="P2" s="13" t="inlineStr">
        <is>
          <t>OFF-SEASON</t>
        </is>
      </c>
      <c r="Q2" s="13" t="inlineStr">
        <is>
          <t>OFF-SEASON</t>
        </is>
      </c>
      <c r="R2" s="13" t="inlineStr">
        <is>
          <t>OFF-SEASON</t>
        </is>
      </c>
      <c r="S2" s="13" t="inlineStr">
        <is>
          <t>OFF-SEASON</t>
        </is>
      </c>
      <c r="T2" s="14" t="inlineStr">
        <is>
          <t>IN-SEASON</t>
        </is>
      </c>
      <c r="U2" s="14" t="inlineStr">
        <is>
          <t>IN-SEASON</t>
        </is>
      </c>
      <c r="V2" s="14" t="inlineStr">
        <is>
          <t>IN-SEASON</t>
        </is>
      </c>
      <c r="W2" s="14" t="inlineStr">
        <is>
          <t>IN-SEASON</t>
        </is>
      </c>
      <c r="X2" s="14" t="inlineStr">
        <is>
          <t>IN-SEASON</t>
        </is>
      </c>
      <c r="Y2" s="14" t="inlineStr">
        <is>
          <t>IN-SEASON</t>
        </is>
      </c>
    </row>
    <row r="3">
      <c r="A3" s="12" t="inlineStr">
        <is>
          <t>New Users Acquired</t>
        </is>
      </c>
      <c r="B3" s="15">
        <f>Assumptions!$B$174</f>
        <v/>
      </c>
      <c r="C3" s="15">
        <f>Assumptions!$B$175</f>
        <v/>
      </c>
      <c r="D3" s="15">
        <f>Assumptions!$B$176</f>
        <v/>
      </c>
      <c r="E3" s="15">
        <f>Assumptions!$B$177</f>
        <v/>
      </c>
      <c r="F3" s="15">
        <f>Assumptions!$B$178</f>
        <v/>
      </c>
      <c r="G3" s="15">
        <f>Assumptions!$B$179</f>
        <v/>
      </c>
      <c r="H3" s="15">
        <f>Assumptions!$B$180</f>
        <v/>
      </c>
      <c r="I3" s="15">
        <f>Assumptions!$B$181</f>
        <v/>
      </c>
      <c r="J3" s="15">
        <f>Assumptions!$B$182</f>
        <v/>
      </c>
      <c r="K3" s="15">
        <f>Assumptions!$B$183</f>
        <v/>
      </c>
      <c r="L3" s="15">
        <f>Assumptions!$B$184</f>
        <v/>
      </c>
      <c r="M3" s="15">
        <f>Assumptions!$B$185</f>
        <v/>
      </c>
      <c r="N3" s="15">
        <f>Assumptions!$B$186</f>
        <v/>
      </c>
      <c r="O3" s="15">
        <f>Assumptions!$B$187</f>
        <v/>
      </c>
      <c r="P3" s="15">
        <f>Assumptions!$B$188</f>
        <v/>
      </c>
      <c r="Q3" s="15">
        <f>Assumptions!$B$189</f>
        <v/>
      </c>
      <c r="R3" s="15">
        <f>Assumptions!$B$190</f>
        <v/>
      </c>
      <c r="S3" s="15">
        <f>Assumptions!$B$191</f>
        <v/>
      </c>
      <c r="T3" s="15">
        <f>Assumptions!$B$192</f>
        <v/>
      </c>
      <c r="U3" s="15">
        <f>Assumptions!$B$193</f>
        <v/>
      </c>
      <c r="V3" s="15">
        <f>Assumptions!$B$194</f>
        <v/>
      </c>
      <c r="W3" s="15">
        <f>Assumptions!$B$195</f>
        <v/>
      </c>
      <c r="X3" s="15">
        <f>Assumptions!$B$196</f>
        <v/>
      </c>
      <c r="Y3" s="15">
        <f>Assumptions!$B$197</f>
        <v/>
      </c>
    </row>
    <row r="5">
      <c r="A5" s="3" t="inlineStr">
        <is>
          <t xml:space="preserve">  Eff. Conv Rate → Pro</t>
        </is>
      </c>
      <c r="B5" s="16">
        <f>IF(0&gt;=Assumptions!$B$10,IF(COLUMN()&lt;14,Assumptions!$B$11,Assumptions!$B$12)*IF(B2="IN-SEASON",Assumptions!$B$15,Assumptions!$B$16),0)</f>
        <v/>
      </c>
      <c r="C5" s="16">
        <f>IF(B20&gt;=Assumptions!$B$10,IF(COLUMN()&lt;14,Assumptions!$B$11,Assumptions!$B$12)*IF(C2="IN-SEASON",Assumptions!$B$15,Assumptions!$B$16),0)</f>
        <v/>
      </c>
      <c r="D5" s="16">
        <f>IF(C20&gt;=Assumptions!$B$10,IF(COLUMN()&lt;14,Assumptions!$B$11,Assumptions!$B$12)*IF(D2="IN-SEASON",Assumptions!$B$15,Assumptions!$B$16),0)</f>
        <v/>
      </c>
      <c r="E5" s="16">
        <f>IF(D20&gt;=Assumptions!$B$10,IF(COLUMN()&lt;14,Assumptions!$B$11,Assumptions!$B$12)*IF(E2="IN-SEASON",Assumptions!$B$15,Assumptions!$B$16),0)</f>
        <v/>
      </c>
      <c r="F5" s="16">
        <f>IF(E20&gt;=Assumptions!$B$10,IF(COLUMN()&lt;14,Assumptions!$B$11,Assumptions!$B$12)*IF(F2="IN-SEASON",Assumptions!$B$15,Assumptions!$B$16),0)</f>
        <v/>
      </c>
      <c r="G5" s="16">
        <f>IF(F20&gt;=Assumptions!$B$10,IF(COLUMN()&lt;14,Assumptions!$B$11,Assumptions!$B$12)*IF(G2="IN-SEASON",Assumptions!$B$15,Assumptions!$B$16),0)</f>
        <v/>
      </c>
      <c r="H5" s="16">
        <f>IF(G20&gt;=Assumptions!$B$10,IF(COLUMN()&lt;14,Assumptions!$B$11,Assumptions!$B$12)*IF(H2="IN-SEASON",Assumptions!$B$15,Assumptions!$B$16),0)</f>
        <v/>
      </c>
      <c r="I5" s="16">
        <f>IF(H20&gt;=Assumptions!$B$10,IF(COLUMN()&lt;14,Assumptions!$B$11,Assumptions!$B$12)*IF(I2="IN-SEASON",Assumptions!$B$15,Assumptions!$B$16),0)</f>
        <v/>
      </c>
      <c r="J5" s="16">
        <f>IF(I20&gt;=Assumptions!$B$10,IF(COLUMN()&lt;14,Assumptions!$B$11,Assumptions!$B$12)*IF(J2="IN-SEASON",Assumptions!$B$15,Assumptions!$B$16),0)</f>
        <v/>
      </c>
      <c r="K5" s="16">
        <f>IF(J20&gt;=Assumptions!$B$10,IF(COLUMN()&lt;14,Assumptions!$B$11,Assumptions!$B$12)*IF(K2="IN-SEASON",Assumptions!$B$15,Assumptions!$B$16),0)</f>
        <v/>
      </c>
      <c r="L5" s="16">
        <f>IF(K20&gt;=Assumptions!$B$10,IF(COLUMN()&lt;14,Assumptions!$B$11,Assumptions!$B$12)*IF(L2="IN-SEASON",Assumptions!$B$15,Assumptions!$B$16),0)</f>
        <v/>
      </c>
      <c r="M5" s="16">
        <f>IF(L20&gt;=Assumptions!$B$10,IF(COLUMN()&lt;14,Assumptions!$B$11,Assumptions!$B$12)*IF(M2="IN-SEASON",Assumptions!$B$15,Assumptions!$B$16),0)</f>
        <v/>
      </c>
      <c r="N5" s="16">
        <f>IF(M20&gt;=Assumptions!$B$10,IF(COLUMN()&lt;14,Assumptions!$B$11,Assumptions!$B$12)*IF(N2="IN-SEASON",Assumptions!$B$15,Assumptions!$B$16),0)</f>
        <v/>
      </c>
      <c r="O5" s="16">
        <f>IF(N20&gt;=Assumptions!$B$10,IF(COLUMN()&lt;14,Assumptions!$B$11,Assumptions!$B$12)*IF(O2="IN-SEASON",Assumptions!$B$15,Assumptions!$B$16),0)</f>
        <v/>
      </c>
      <c r="P5" s="16">
        <f>IF(O20&gt;=Assumptions!$B$10,IF(COLUMN()&lt;14,Assumptions!$B$11,Assumptions!$B$12)*IF(P2="IN-SEASON",Assumptions!$B$15,Assumptions!$B$16),0)</f>
        <v/>
      </c>
      <c r="Q5" s="16">
        <f>IF(P20&gt;=Assumptions!$B$10,IF(COLUMN()&lt;14,Assumptions!$B$11,Assumptions!$B$12)*IF(Q2="IN-SEASON",Assumptions!$B$15,Assumptions!$B$16),0)</f>
        <v/>
      </c>
      <c r="R5" s="16">
        <f>IF(Q20&gt;=Assumptions!$B$10,IF(COLUMN()&lt;14,Assumptions!$B$11,Assumptions!$B$12)*IF(R2="IN-SEASON",Assumptions!$B$15,Assumptions!$B$16),0)</f>
        <v/>
      </c>
      <c r="S5" s="16">
        <f>IF(R20&gt;=Assumptions!$B$10,IF(COLUMN()&lt;14,Assumptions!$B$11,Assumptions!$B$12)*IF(S2="IN-SEASON",Assumptions!$B$15,Assumptions!$B$16),0)</f>
        <v/>
      </c>
      <c r="T5" s="16">
        <f>IF(S20&gt;=Assumptions!$B$10,IF(COLUMN()&lt;14,Assumptions!$B$11,Assumptions!$B$12)*IF(T2="IN-SEASON",Assumptions!$B$15,Assumptions!$B$16),0)</f>
        <v/>
      </c>
      <c r="U5" s="16">
        <f>IF(T20&gt;=Assumptions!$B$10,IF(COLUMN()&lt;14,Assumptions!$B$11,Assumptions!$B$12)*IF(U2="IN-SEASON",Assumptions!$B$15,Assumptions!$B$16),0)</f>
        <v/>
      </c>
      <c r="V5" s="16">
        <f>IF(U20&gt;=Assumptions!$B$10,IF(COLUMN()&lt;14,Assumptions!$B$11,Assumptions!$B$12)*IF(V2="IN-SEASON",Assumptions!$B$15,Assumptions!$B$16),0)</f>
        <v/>
      </c>
      <c r="W5" s="16">
        <f>IF(V20&gt;=Assumptions!$B$10,IF(COLUMN()&lt;14,Assumptions!$B$11,Assumptions!$B$12)*IF(W2="IN-SEASON",Assumptions!$B$15,Assumptions!$B$16),0)</f>
        <v/>
      </c>
      <c r="X5" s="16">
        <f>IF(W20&gt;=Assumptions!$B$10,IF(COLUMN()&lt;14,Assumptions!$B$11,Assumptions!$B$12)*IF(X2="IN-SEASON",Assumptions!$B$15,Assumptions!$B$16),0)</f>
        <v/>
      </c>
      <c r="Y5" s="16">
        <f>IF(X20&gt;=Assumptions!$B$10,IF(COLUMN()&lt;14,Assumptions!$B$11,Assumptions!$B$12)*IF(Y2="IN-SEASON",Assumptions!$B$15,Assumptions!$B$16),0)</f>
        <v/>
      </c>
    </row>
    <row r="6">
      <c r="A6" s="3" t="inlineStr">
        <is>
          <t xml:space="preserve">  Eff. Conv Rate → Comm</t>
        </is>
      </c>
      <c r="B6" s="16">
        <f>IF(0&gt;=Assumptions!$B$10,IF(COLUMN()&lt;14,Assumptions!$B$13,Assumptions!$B$14)*IF(B2="IN-SEASON",Assumptions!$B$15,Assumptions!$B$16),0)</f>
        <v/>
      </c>
      <c r="C6" s="16">
        <f>IF(B20&gt;=Assumptions!$B$10,IF(COLUMN()&lt;14,Assumptions!$B$13,Assumptions!$B$14)*IF(C2="IN-SEASON",Assumptions!$B$15,Assumptions!$B$16),0)</f>
        <v/>
      </c>
      <c r="D6" s="16">
        <f>IF(C20&gt;=Assumptions!$B$10,IF(COLUMN()&lt;14,Assumptions!$B$13,Assumptions!$B$14)*IF(D2="IN-SEASON",Assumptions!$B$15,Assumptions!$B$16),0)</f>
        <v/>
      </c>
      <c r="E6" s="16">
        <f>IF(D20&gt;=Assumptions!$B$10,IF(COLUMN()&lt;14,Assumptions!$B$13,Assumptions!$B$14)*IF(E2="IN-SEASON",Assumptions!$B$15,Assumptions!$B$16),0)</f>
        <v/>
      </c>
      <c r="F6" s="16">
        <f>IF(E20&gt;=Assumptions!$B$10,IF(COLUMN()&lt;14,Assumptions!$B$13,Assumptions!$B$14)*IF(F2="IN-SEASON",Assumptions!$B$15,Assumptions!$B$16),0)</f>
        <v/>
      </c>
      <c r="G6" s="16">
        <f>IF(F20&gt;=Assumptions!$B$10,IF(COLUMN()&lt;14,Assumptions!$B$13,Assumptions!$B$14)*IF(G2="IN-SEASON",Assumptions!$B$15,Assumptions!$B$16),0)</f>
        <v/>
      </c>
      <c r="H6" s="16">
        <f>IF(G20&gt;=Assumptions!$B$10,IF(COLUMN()&lt;14,Assumptions!$B$13,Assumptions!$B$14)*IF(H2="IN-SEASON",Assumptions!$B$15,Assumptions!$B$16),0)</f>
        <v/>
      </c>
      <c r="I6" s="16">
        <f>IF(H20&gt;=Assumptions!$B$10,IF(COLUMN()&lt;14,Assumptions!$B$13,Assumptions!$B$14)*IF(I2="IN-SEASON",Assumptions!$B$15,Assumptions!$B$16),0)</f>
        <v/>
      </c>
      <c r="J6" s="16">
        <f>IF(I20&gt;=Assumptions!$B$10,IF(COLUMN()&lt;14,Assumptions!$B$13,Assumptions!$B$14)*IF(J2="IN-SEASON",Assumptions!$B$15,Assumptions!$B$16),0)</f>
        <v/>
      </c>
      <c r="K6" s="16">
        <f>IF(J20&gt;=Assumptions!$B$10,IF(COLUMN()&lt;14,Assumptions!$B$13,Assumptions!$B$14)*IF(K2="IN-SEASON",Assumptions!$B$15,Assumptions!$B$16),0)</f>
        <v/>
      </c>
      <c r="L6" s="16">
        <f>IF(K20&gt;=Assumptions!$B$10,IF(COLUMN()&lt;14,Assumptions!$B$13,Assumptions!$B$14)*IF(L2="IN-SEASON",Assumptions!$B$15,Assumptions!$B$16),0)</f>
        <v/>
      </c>
      <c r="M6" s="16">
        <f>IF(L20&gt;=Assumptions!$B$10,IF(COLUMN()&lt;14,Assumptions!$B$13,Assumptions!$B$14)*IF(M2="IN-SEASON",Assumptions!$B$15,Assumptions!$B$16),0)</f>
        <v/>
      </c>
      <c r="N6" s="16">
        <f>IF(M20&gt;=Assumptions!$B$10,IF(COLUMN()&lt;14,Assumptions!$B$13,Assumptions!$B$14)*IF(N2="IN-SEASON",Assumptions!$B$15,Assumptions!$B$16),0)</f>
        <v/>
      </c>
      <c r="O6" s="16">
        <f>IF(N20&gt;=Assumptions!$B$10,IF(COLUMN()&lt;14,Assumptions!$B$13,Assumptions!$B$14)*IF(O2="IN-SEASON",Assumptions!$B$15,Assumptions!$B$16),0)</f>
        <v/>
      </c>
      <c r="P6" s="16">
        <f>IF(O20&gt;=Assumptions!$B$10,IF(COLUMN()&lt;14,Assumptions!$B$13,Assumptions!$B$14)*IF(P2="IN-SEASON",Assumptions!$B$15,Assumptions!$B$16),0)</f>
        <v/>
      </c>
      <c r="Q6" s="16">
        <f>IF(P20&gt;=Assumptions!$B$10,IF(COLUMN()&lt;14,Assumptions!$B$13,Assumptions!$B$14)*IF(Q2="IN-SEASON",Assumptions!$B$15,Assumptions!$B$16),0)</f>
        <v/>
      </c>
      <c r="R6" s="16">
        <f>IF(Q20&gt;=Assumptions!$B$10,IF(COLUMN()&lt;14,Assumptions!$B$13,Assumptions!$B$14)*IF(R2="IN-SEASON",Assumptions!$B$15,Assumptions!$B$16),0)</f>
        <v/>
      </c>
      <c r="S6" s="16">
        <f>IF(R20&gt;=Assumptions!$B$10,IF(COLUMN()&lt;14,Assumptions!$B$13,Assumptions!$B$14)*IF(S2="IN-SEASON",Assumptions!$B$15,Assumptions!$B$16),0)</f>
        <v/>
      </c>
      <c r="T6" s="16">
        <f>IF(S20&gt;=Assumptions!$B$10,IF(COLUMN()&lt;14,Assumptions!$B$13,Assumptions!$B$14)*IF(T2="IN-SEASON",Assumptions!$B$15,Assumptions!$B$16),0)</f>
        <v/>
      </c>
      <c r="U6" s="16">
        <f>IF(T20&gt;=Assumptions!$B$10,IF(COLUMN()&lt;14,Assumptions!$B$13,Assumptions!$B$14)*IF(U2="IN-SEASON",Assumptions!$B$15,Assumptions!$B$16),0)</f>
        <v/>
      </c>
      <c r="V6" s="16">
        <f>IF(U20&gt;=Assumptions!$B$10,IF(COLUMN()&lt;14,Assumptions!$B$13,Assumptions!$B$14)*IF(V2="IN-SEASON",Assumptions!$B$15,Assumptions!$B$16),0)</f>
        <v/>
      </c>
      <c r="W6" s="16">
        <f>IF(V20&gt;=Assumptions!$B$10,IF(COLUMN()&lt;14,Assumptions!$B$13,Assumptions!$B$14)*IF(W2="IN-SEASON",Assumptions!$B$15,Assumptions!$B$16),0)</f>
        <v/>
      </c>
      <c r="X6" s="16">
        <f>IF(W20&gt;=Assumptions!$B$10,IF(COLUMN()&lt;14,Assumptions!$B$13,Assumptions!$B$14)*IF(X2="IN-SEASON",Assumptions!$B$15,Assumptions!$B$16),0)</f>
        <v/>
      </c>
      <c r="Y6" s="16">
        <f>IF(X20&gt;=Assumptions!$B$10,IF(COLUMN()&lt;14,Assumptions!$B$13,Assumptions!$B$14)*IF(Y2="IN-SEASON",Assumptions!$B$15,Assumptions!$B$16),0)</f>
        <v/>
      </c>
    </row>
    <row r="7">
      <c r="A7" s="3" t="inlineStr">
        <is>
          <t xml:space="preserve">  Churn Rate (Free)</t>
        </is>
      </c>
      <c r="B7" s="16">
        <f>IF(B2="IN-SEASON",Assumptions!$B$23,Assumptions!$B$24)</f>
        <v/>
      </c>
      <c r="C7" s="16">
        <f>IF(C2="IN-SEASON",Assumptions!$B$23,Assumptions!$B$24)</f>
        <v/>
      </c>
      <c r="D7" s="16">
        <f>IF(D2="IN-SEASON",Assumptions!$B$23,Assumptions!$B$24)</f>
        <v/>
      </c>
      <c r="E7" s="16">
        <f>IF(E2="IN-SEASON",Assumptions!$B$23,Assumptions!$B$24)</f>
        <v/>
      </c>
      <c r="F7" s="16">
        <f>IF(F2="IN-SEASON",Assumptions!$B$23,Assumptions!$B$24)</f>
        <v/>
      </c>
      <c r="G7" s="16">
        <f>IF(G2="IN-SEASON",Assumptions!$B$23,Assumptions!$B$24)</f>
        <v/>
      </c>
      <c r="H7" s="16">
        <f>IF(H2="IN-SEASON",Assumptions!$B$23,Assumptions!$B$24)</f>
        <v/>
      </c>
      <c r="I7" s="16">
        <f>IF(I2="IN-SEASON",Assumptions!$B$23,Assumptions!$B$24)</f>
        <v/>
      </c>
      <c r="J7" s="16">
        <f>IF(J2="IN-SEASON",Assumptions!$B$23,Assumptions!$B$24)</f>
        <v/>
      </c>
      <c r="K7" s="16">
        <f>IF(K2="IN-SEASON",Assumptions!$B$23,Assumptions!$B$24)</f>
        <v/>
      </c>
      <c r="L7" s="16">
        <f>IF(L2="IN-SEASON",Assumptions!$B$23,Assumptions!$B$24)</f>
        <v/>
      </c>
      <c r="M7" s="16">
        <f>IF(M2="IN-SEASON",Assumptions!$B$23,Assumptions!$B$24)</f>
        <v/>
      </c>
      <c r="N7" s="16">
        <f>IF(N2="IN-SEASON",Assumptions!$B$23,Assumptions!$B$24)</f>
        <v/>
      </c>
      <c r="O7" s="16">
        <f>IF(O2="IN-SEASON",Assumptions!$B$23,Assumptions!$B$24)</f>
        <v/>
      </c>
      <c r="P7" s="16">
        <f>IF(P2="IN-SEASON",Assumptions!$B$23,Assumptions!$B$24)</f>
        <v/>
      </c>
      <c r="Q7" s="16">
        <f>IF(Q2="IN-SEASON",Assumptions!$B$23,Assumptions!$B$24)</f>
        <v/>
      </c>
      <c r="R7" s="16">
        <f>IF(R2="IN-SEASON",Assumptions!$B$23,Assumptions!$B$24)</f>
        <v/>
      </c>
      <c r="S7" s="16">
        <f>IF(S2="IN-SEASON",Assumptions!$B$23,Assumptions!$B$24)</f>
        <v/>
      </c>
      <c r="T7" s="16">
        <f>IF(T2="IN-SEASON",Assumptions!$B$23,Assumptions!$B$24)</f>
        <v/>
      </c>
      <c r="U7" s="16">
        <f>IF(U2="IN-SEASON",Assumptions!$B$23,Assumptions!$B$24)</f>
        <v/>
      </c>
      <c r="V7" s="16">
        <f>IF(V2="IN-SEASON",Assumptions!$B$23,Assumptions!$B$24)</f>
        <v/>
      </c>
      <c r="W7" s="16">
        <f>IF(W2="IN-SEASON",Assumptions!$B$23,Assumptions!$B$24)</f>
        <v/>
      </c>
      <c r="X7" s="16">
        <f>IF(X2="IN-SEASON",Assumptions!$B$23,Assumptions!$B$24)</f>
        <v/>
      </c>
      <c r="Y7" s="16">
        <f>IF(Y2="IN-SEASON",Assumptions!$B$23,Assumptions!$B$24)</f>
        <v/>
      </c>
    </row>
    <row r="8">
      <c r="A8" s="3" t="inlineStr">
        <is>
          <t xml:space="preserve">  Churn Rate (Pro)</t>
        </is>
      </c>
      <c r="B8" s="16">
        <f>IF(B2="IN-SEASON",Assumptions!$B$19,Assumptions!$B$20)</f>
        <v/>
      </c>
      <c r="C8" s="16">
        <f>IF(C2="IN-SEASON",Assumptions!$B$19,Assumptions!$B$20)</f>
        <v/>
      </c>
      <c r="D8" s="16">
        <f>IF(D2="IN-SEASON",Assumptions!$B$19,Assumptions!$B$20)</f>
        <v/>
      </c>
      <c r="E8" s="16">
        <f>IF(E2="IN-SEASON",Assumptions!$B$19,Assumptions!$B$20)</f>
        <v/>
      </c>
      <c r="F8" s="16">
        <f>IF(F2="IN-SEASON",Assumptions!$B$19,Assumptions!$B$20)</f>
        <v/>
      </c>
      <c r="G8" s="16">
        <f>IF(G2="IN-SEASON",Assumptions!$B$19,Assumptions!$B$20)</f>
        <v/>
      </c>
      <c r="H8" s="16">
        <f>IF(H2="IN-SEASON",Assumptions!$B$19,Assumptions!$B$20)</f>
        <v/>
      </c>
      <c r="I8" s="16">
        <f>IF(I2="IN-SEASON",Assumptions!$B$19,Assumptions!$B$20)</f>
        <v/>
      </c>
      <c r="J8" s="16">
        <f>IF(J2="IN-SEASON",Assumptions!$B$19,Assumptions!$B$20)</f>
        <v/>
      </c>
      <c r="K8" s="16">
        <f>IF(K2="IN-SEASON",Assumptions!$B$19,Assumptions!$B$20)</f>
        <v/>
      </c>
      <c r="L8" s="16">
        <f>IF(L2="IN-SEASON",Assumptions!$B$19,Assumptions!$B$20)</f>
        <v/>
      </c>
      <c r="M8" s="16">
        <f>IF(M2="IN-SEASON",Assumptions!$B$19,Assumptions!$B$20)</f>
        <v/>
      </c>
      <c r="N8" s="16">
        <f>IF(N2="IN-SEASON",Assumptions!$B$19,Assumptions!$B$20)</f>
        <v/>
      </c>
      <c r="O8" s="16">
        <f>IF(O2="IN-SEASON",Assumptions!$B$19,Assumptions!$B$20)</f>
        <v/>
      </c>
      <c r="P8" s="16">
        <f>IF(P2="IN-SEASON",Assumptions!$B$19,Assumptions!$B$20)</f>
        <v/>
      </c>
      <c r="Q8" s="16">
        <f>IF(Q2="IN-SEASON",Assumptions!$B$19,Assumptions!$B$20)</f>
        <v/>
      </c>
      <c r="R8" s="16">
        <f>IF(R2="IN-SEASON",Assumptions!$B$19,Assumptions!$B$20)</f>
        <v/>
      </c>
      <c r="S8" s="16">
        <f>IF(S2="IN-SEASON",Assumptions!$B$19,Assumptions!$B$20)</f>
        <v/>
      </c>
      <c r="T8" s="16">
        <f>IF(T2="IN-SEASON",Assumptions!$B$19,Assumptions!$B$20)</f>
        <v/>
      </c>
      <c r="U8" s="16">
        <f>IF(U2="IN-SEASON",Assumptions!$B$19,Assumptions!$B$20)</f>
        <v/>
      </c>
      <c r="V8" s="16">
        <f>IF(V2="IN-SEASON",Assumptions!$B$19,Assumptions!$B$20)</f>
        <v/>
      </c>
      <c r="W8" s="16">
        <f>IF(W2="IN-SEASON",Assumptions!$B$19,Assumptions!$B$20)</f>
        <v/>
      </c>
      <c r="X8" s="16">
        <f>IF(X2="IN-SEASON",Assumptions!$B$19,Assumptions!$B$20)</f>
        <v/>
      </c>
      <c r="Y8" s="16">
        <f>IF(Y2="IN-SEASON",Assumptions!$B$19,Assumptions!$B$20)</f>
        <v/>
      </c>
    </row>
    <row r="9">
      <c r="A9" s="3" t="inlineStr">
        <is>
          <t xml:space="preserve">  Churn Rate (Comm)</t>
        </is>
      </c>
      <c r="B9" s="16">
        <f>IF(B2="IN-SEASON",Assumptions!$B$21,Assumptions!$B$22)</f>
        <v/>
      </c>
      <c r="C9" s="16">
        <f>IF(C2="IN-SEASON",Assumptions!$B$21,Assumptions!$B$22)</f>
        <v/>
      </c>
      <c r="D9" s="16">
        <f>IF(D2="IN-SEASON",Assumptions!$B$21,Assumptions!$B$22)</f>
        <v/>
      </c>
      <c r="E9" s="16">
        <f>IF(E2="IN-SEASON",Assumptions!$B$21,Assumptions!$B$22)</f>
        <v/>
      </c>
      <c r="F9" s="16">
        <f>IF(F2="IN-SEASON",Assumptions!$B$21,Assumptions!$B$22)</f>
        <v/>
      </c>
      <c r="G9" s="16">
        <f>IF(G2="IN-SEASON",Assumptions!$B$21,Assumptions!$B$22)</f>
        <v/>
      </c>
      <c r="H9" s="16">
        <f>IF(H2="IN-SEASON",Assumptions!$B$21,Assumptions!$B$22)</f>
        <v/>
      </c>
      <c r="I9" s="16">
        <f>IF(I2="IN-SEASON",Assumptions!$B$21,Assumptions!$B$22)</f>
        <v/>
      </c>
      <c r="J9" s="16">
        <f>IF(J2="IN-SEASON",Assumptions!$B$21,Assumptions!$B$22)</f>
        <v/>
      </c>
      <c r="K9" s="16">
        <f>IF(K2="IN-SEASON",Assumptions!$B$21,Assumptions!$B$22)</f>
        <v/>
      </c>
      <c r="L9" s="16">
        <f>IF(L2="IN-SEASON",Assumptions!$B$21,Assumptions!$B$22)</f>
        <v/>
      </c>
      <c r="M9" s="16">
        <f>IF(M2="IN-SEASON",Assumptions!$B$21,Assumptions!$B$22)</f>
        <v/>
      </c>
      <c r="N9" s="16">
        <f>IF(N2="IN-SEASON",Assumptions!$B$21,Assumptions!$B$22)</f>
        <v/>
      </c>
      <c r="O9" s="16">
        <f>IF(O2="IN-SEASON",Assumptions!$B$21,Assumptions!$B$22)</f>
        <v/>
      </c>
      <c r="P9" s="16">
        <f>IF(P2="IN-SEASON",Assumptions!$B$21,Assumptions!$B$22)</f>
        <v/>
      </c>
      <c r="Q9" s="16">
        <f>IF(Q2="IN-SEASON",Assumptions!$B$21,Assumptions!$B$22)</f>
        <v/>
      </c>
      <c r="R9" s="16">
        <f>IF(R2="IN-SEASON",Assumptions!$B$21,Assumptions!$B$22)</f>
        <v/>
      </c>
      <c r="S9" s="16">
        <f>IF(S2="IN-SEASON",Assumptions!$B$21,Assumptions!$B$22)</f>
        <v/>
      </c>
      <c r="T9" s="16">
        <f>IF(T2="IN-SEASON",Assumptions!$B$21,Assumptions!$B$22)</f>
        <v/>
      </c>
      <c r="U9" s="16">
        <f>IF(U2="IN-SEASON",Assumptions!$B$21,Assumptions!$B$22)</f>
        <v/>
      </c>
      <c r="V9" s="16">
        <f>IF(V2="IN-SEASON",Assumptions!$B$21,Assumptions!$B$22)</f>
        <v/>
      </c>
      <c r="W9" s="16">
        <f>IF(W2="IN-SEASON",Assumptions!$B$21,Assumptions!$B$22)</f>
        <v/>
      </c>
      <c r="X9" s="16">
        <f>IF(X2="IN-SEASON",Assumptions!$B$21,Assumptions!$B$22)</f>
        <v/>
      </c>
      <c r="Y9" s="16">
        <f>IF(Y2="IN-SEASON",Assumptions!$B$21,Assumptions!$B$22)</f>
        <v/>
      </c>
    </row>
    <row r="11">
      <c r="A11" s="3" t="inlineStr">
        <is>
          <t>Churned Free Users</t>
        </is>
      </c>
      <c r="B11" s="15">
        <f>INT(0*B7)</f>
        <v/>
      </c>
      <c r="C11" s="15">
        <f>INT(B17*C7)</f>
        <v/>
      </c>
      <c r="D11" s="15">
        <f>INT(C17*D7)</f>
        <v/>
      </c>
      <c r="E11" s="15">
        <f>INT(D17*E7)</f>
        <v/>
      </c>
      <c r="F11" s="15">
        <f>INT(E17*F7)</f>
        <v/>
      </c>
      <c r="G11" s="15">
        <f>INT(F17*G7)</f>
        <v/>
      </c>
      <c r="H11" s="15">
        <f>INT(G17*H7)</f>
        <v/>
      </c>
      <c r="I11" s="15">
        <f>INT(H17*I7)</f>
        <v/>
      </c>
      <c r="J11" s="15">
        <f>INT(I17*J7)</f>
        <v/>
      </c>
      <c r="K11" s="15">
        <f>INT(J17*K7)</f>
        <v/>
      </c>
      <c r="L11" s="15">
        <f>INT(K17*L7)</f>
        <v/>
      </c>
      <c r="M11" s="15">
        <f>INT(L17*M7)</f>
        <v/>
      </c>
      <c r="N11" s="15">
        <f>INT(M17*N7)</f>
        <v/>
      </c>
      <c r="O11" s="15">
        <f>INT(N17*O7)</f>
        <v/>
      </c>
      <c r="P11" s="15">
        <f>INT(O17*P7)</f>
        <v/>
      </c>
      <c r="Q11" s="15">
        <f>INT(P17*Q7)</f>
        <v/>
      </c>
      <c r="R11" s="15">
        <f>INT(Q17*R7)</f>
        <v/>
      </c>
      <c r="S11" s="15">
        <f>INT(R17*S7)</f>
        <v/>
      </c>
      <c r="T11" s="15">
        <f>INT(S17*T7)</f>
        <v/>
      </c>
      <c r="U11" s="15">
        <f>INT(T17*U7)</f>
        <v/>
      </c>
      <c r="V11" s="15">
        <f>INT(U17*V7)</f>
        <v/>
      </c>
      <c r="W11" s="15">
        <f>INT(V17*W7)</f>
        <v/>
      </c>
      <c r="X11" s="15">
        <f>INT(W17*X7)</f>
        <v/>
      </c>
      <c r="Y11" s="15">
        <f>INT(X17*Y7)</f>
        <v/>
      </c>
    </row>
    <row r="12">
      <c r="A12" s="3" t="inlineStr">
        <is>
          <t>Churned Pro Users</t>
        </is>
      </c>
      <c r="B12" s="15">
        <f>INT(0*B8)</f>
        <v/>
      </c>
      <c r="C12" s="15">
        <f>INT(B18*C8)</f>
        <v/>
      </c>
      <c r="D12" s="15">
        <f>INT(C18*D8)</f>
        <v/>
      </c>
      <c r="E12" s="15">
        <f>INT(D18*E8)</f>
        <v/>
      </c>
      <c r="F12" s="15">
        <f>INT(E18*F8)</f>
        <v/>
      </c>
      <c r="G12" s="15">
        <f>INT(F18*G8)</f>
        <v/>
      </c>
      <c r="H12" s="15">
        <f>INT(G18*H8)</f>
        <v/>
      </c>
      <c r="I12" s="15">
        <f>INT(H18*I8)</f>
        <v/>
      </c>
      <c r="J12" s="15">
        <f>INT(I18*J8)</f>
        <v/>
      </c>
      <c r="K12" s="15">
        <f>INT(J18*K8)</f>
        <v/>
      </c>
      <c r="L12" s="15">
        <f>INT(K18*L8)</f>
        <v/>
      </c>
      <c r="M12" s="15">
        <f>INT(L18*M8)</f>
        <v/>
      </c>
      <c r="N12" s="15">
        <f>INT(M18*N8)</f>
        <v/>
      </c>
      <c r="O12" s="15">
        <f>INT(N18*O8)</f>
        <v/>
      </c>
      <c r="P12" s="15">
        <f>INT(O18*P8)</f>
        <v/>
      </c>
      <c r="Q12" s="15">
        <f>INT(P18*Q8)</f>
        <v/>
      </c>
      <c r="R12" s="15">
        <f>INT(Q18*R8)</f>
        <v/>
      </c>
      <c r="S12" s="15">
        <f>INT(R18*S8)</f>
        <v/>
      </c>
      <c r="T12" s="15">
        <f>INT(S18*T8)</f>
        <v/>
      </c>
      <c r="U12" s="15">
        <f>INT(T18*U8)</f>
        <v/>
      </c>
      <c r="V12" s="15">
        <f>INT(U18*V8)</f>
        <v/>
      </c>
      <c r="W12" s="15">
        <f>INT(V18*W8)</f>
        <v/>
      </c>
      <c r="X12" s="15">
        <f>INT(W18*X8)</f>
        <v/>
      </c>
      <c r="Y12" s="15">
        <f>INT(X18*Y8)</f>
        <v/>
      </c>
    </row>
    <row r="13">
      <c r="A13" s="3" t="inlineStr">
        <is>
          <t>Churned Commissioner Users</t>
        </is>
      </c>
      <c r="B13" s="15">
        <f>INT(0*B9)</f>
        <v/>
      </c>
      <c r="C13" s="15">
        <f>INT(B19*C9)</f>
        <v/>
      </c>
      <c r="D13" s="15">
        <f>INT(C19*D9)</f>
        <v/>
      </c>
      <c r="E13" s="15">
        <f>INT(D19*E9)</f>
        <v/>
      </c>
      <c r="F13" s="15">
        <f>INT(E19*F9)</f>
        <v/>
      </c>
      <c r="G13" s="15">
        <f>INT(F19*G9)</f>
        <v/>
      </c>
      <c r="H13" s="15">
        <f>INT(G19*H9)</f>
        <v/>
      </c>
      <c r="I13" s="15">
        <f>INT(H19*I9)</f>
        <v/>
      </c>
      <c r="J13" s="15">
        <f>INT(I19*J9)</f>
        <v/>
      </c>
      <c r="K13" s="15">
        <f>INT(J19*K9)</f>
        <v/>
      </c>
      <c r="L13" s="15">
        <f>INT(K19*L9)</f>
        <v/>
      </c>
      <c r="M13" s="15">
        <f>INT(L19*M9)</f>
        <v/>
      </c>
      <c r="N13" s="15">
        <f>INT(M19*N9)</f>
        <v/>
      </c>
      <c r="O13" s="15">
        <f>INT(N19*O9)</f>
        <v/>
      </c>
      <c r="P13" s="15">
        <f>INT(O19*P9)</f>
        <v/>
      </c>
      <c r="Q13" s="15">
        <f>INT(P19*Q9)</f>
        <v/>
      </c>
      <c r="R13" s="15">
        <f>INT(Q19*R9)</f>
        <v/>
      </c>
      <c r="S13" s="15">
        <f>INT(R19*S9)</f>
        <v/>
      </c>
      <c r="T13" s="15">
        <f>INT(S19*T9)</f>
        <v/>
      </c>
      <c r="U13" s="15">
        <f>INT(T19*U9)</f>
        <v/>
      </c>
      <c r="V13" s="15">
        <f>INT(U19*V9)</f>
        <v/>
      </c>
      <c r="W13" s="15">
        <f>INT(V19*W9)</f>
        <v/>
      </c>
      <c r="X13" s="15">
        <f>INT(W19*X9)</f>
        <v/>
      </c>
      <c r="Y13" s="15">
        <f>INT(X19*Y9)</f>
        <v/>
      </c>
    </row>
    <row r="14">
      <c r="A14" s="3" t="inlineStr">
        <is>
          <t>Conversions to Pro</t>
        </is>
      </c>
      <c r="B14" s="15">
        <f>INT(0*B5)</f>
        <v/>
      </c>
      <c r="C14" s="15">
        <f>INT(B17*C5)</f>
        <v/>
      </c>
      <c r="D14" s="15">
        <f>INT(C17*D5)</f>
        <v/>
      </c>
      <c r="E14" s="15">
        <f>INT(D17*E5)</f>
        <v/>
      </c>
      <c r="F14" s="15">
        <f>INT(E17*F5)</f>
        <v/>
      </c>
      <c r="G14" s="15">
        <f>INT(F17*G5)</f>
        <v/>
      </c>
      <c r="H14" s="15">
        <f>INT(G17*H5)</f>
        <v/>
      </c>
      <c r="I14" s="15">
        <f>INT(H17*I5)</f>
        <v/>
      </c>
      <c r="J14" s="15">
        <f>INT(I17*J5)</f>
        <v/>
      </c>
      <c r="K14" s="15">
        <f>INT(J17*K5)</f>
        <v/>
      </c>
      <c r="L14" s="15">
        <f>INT(K17*L5)</f>
        <v/>
      </c>
      <c r="M14" s="15">
        <f>INT(L17*M5)</f>
        <v/>
      </c>
      <c r="N14" s="15">
        <f>INT(M17*N5)</f>
        <v/>
      </c>
      <c r="O14" s="15">
        <f>INT(N17*O5)</f>
        <v/>
      </c>
      <c r="P14" s="15">
        <f>INT(O17*P5)</f>
        <v/>
      </c>
      <c r="Q14" s="15">
        <f>INT(P17*Q5)</f>
        <v/>
      </c>
      <c r="R14" s="15">
        <f>INT(Q17*R5)</f>
        <v/>
      </c>
      <c r="S14" s="15">
        <f>INT(R17*S5)</f>
        <v/>
      </c>
      <c r="T14" s="15">
        <f>INT(S17*T5)</f>
        <v/>
      </c>
      <c r="U14" s="15">
        <f>INT(T17*U5)</f>
        <v/>
      </c>
      <c r="V14" s="15">
        <f>INT(U17*V5)</f>
        <v/>
      </c>
      <c r="W14" s="15">
        <f>INT(V17*W5)</f>
        <v/>
      </c>
      <c r="X14" s="15">
        <f>INT(W17*X5)</f>
        <v/>
      </c>
      <c r="Y14" s="15">
        <f>INT(X17*Y5)</f>
        <v/>
      </c>
    </row>
    <row r="15">
      <c r="A15" s="3" t="inlineStr">
        <is>
          <t>Conversions to Commissioner</t>
        </is>
      </c>
      <c r="B15" s="15">
        <f>INT(0*B6)</f>
        <v/>
      </c>
      <c r="C15" s="15">
        <f>INT(B17*C6)</f>
        <v/>
      </c>
      <c r="D15" s="15">
        <f>INT(C17*D6)</f>
        <v/>
      </c>
      <c r="E15" s="15">
        <f>INT(D17*E6)</f>
        <v/>
      </c>
      <c r="F15" s="15">
        <f>INT(E17*F6)</f>
        <v/>
      </c>
      <c r="G15" s="15">
        <f>INT(F17*G6)</f>
        <v/>
      </c>
      <c r="H15" s="15">
        <f>INT(G17*H6)</f>
        <v/>
      </c>
      <c r="I15" s="15">
        <f>INT(H17*I6)</f>
        <v/>
      </c>
      <c r="J15" s="15">
        <f>INT(I17*J6)</f>
        <v/>
      </c>
      <c r="K15" s="15">
        <f>INT(J17*K6)</f>
        <v/>
      </c>
      <c r="L15" s="15">
        <f>INT(K17*L6)</f>
        <v/>
      </c>
      <c r="M15" s="15">
        <f>INT(L17*M6)</f>
        <v/>
      </c>
      <c r="N15" s="15">
        <f>INT(M17*N6)</f>
        <v/>
      </c>
      <c r="O15" s="15">
        <f>INT(N17*O6)</f>
        <v/>
      </c>
      <c r="P15" s="15">
        <f>INT(O17*P6)</f>
        <v/>
      </c>
      <c r="Q15" s="15">
        <f>INT(P17*Q6)</f>
        <v/>
      </c>
      <c r="R15" s="15">
        <f>INT(Q17*R6)</f>
        <v/>
      </c>
      <c r="S15" s="15">
        <f>INT(R17*S6)</f>
        <v/>
      </c>
      <c r="T15" s="15">
        <f>INT(S17*T6)</f>
        <v/>
      </c>
      <c r="U15" s="15">
        <f>INT(T17*U6)</f>
        <v/>
      </c>
      <c r="V15" s="15">
        <f>INT(U17*V6)</f>
        <v/>
      </c>
      <c r="W15" s="15">
        <f>INT(V17*W6)</f>
        <v/>
      </c>
      <c r="X15" s="15">
        <f>INT(W17*X6)</f>
        <v/>
      </c>
      <c r="Y15" s="15">
        <f>INT(X17*Y6)</f>
        <v/>
      </c>
    </row>
    <row r="17">
      <c r="A17" s="3" t="inlineStr">
        <is>
          <t>End-of-Month Free Users</t>
        </is>
      </c>
      <c r="B17" s="15">
        <f>MAX(0,0+B3-B11-B14-B15)</f>
        <v/>
      </c>
      <c r="C17" s="15">
        <f>MAX(0,B17+C3-C11-C14-C15)</f>
        <v/>
      </c>
      <c r="D17" s="15">
        <f>MAX(0,C17+D3-D11-D14-D15)</f>
        <v/>
      </c>
      <c r="E17" s="15">
        <f>MAX(0,D17+E3-E11-E14-E15)</f>
        <v/>
      </c>
      <c r="F17" s="15">
        <f>MAX(0,E17+F3-F11-F14-F15)</f>
        <v/>
      </c>
      <c r="G17" s="15">
        <f>MAX(0,F17+G3-G11-G14-G15)</f>
        <v/>
      </c>
      <c r="H17" s="15">
        <f>MAX(0,G17+H3-H11-H14-H15)</f>
        <v/>
      </c>
      <c r="I17" s="15">
        <f>MAX(0,H17+I3-I11-I14-I15)</f>
        <v/>
      </c>
      <c r="J17" s="15">
        <f>MAX(0,I17+J3-J11-J14-J15)</f>
        <v/>
      </c>
      <c r="K17" s="15">
        <f>MAX(0,J17+K3-K11-K14-K15)</f>
        <v/>
      </c>
      <c r="L17" s="15">
        <f>MAX(0,K17+L3-L11-L14-L15)</f>
        <v/>
      </c>
      <c r="M17" s="15">
        <f>MAX(0,L17+M3-M11-M14-M15)</f>
        <v/>
      </c>
      <c r="N17" s="15">
        <f>MAX(0,M17+N3-N11-N14-N15)</f>
        <v/>
      </c>
      <c r="O17" s="15">
        <f>MAX(0,N17+O3-O11-O14-O15)</f>
        <v/>
      </c>
      <c r="P17" s="15">
        <f>MAX(0,O17+P3-P11-P14-P15)</f>
        <v/>
      </c>
      <c r="Q17" s="15">
        <f>MAX(0,P17+Q3-Q11-Q14-Q15)</f>
        <v/>
      </c>
      <c r="R17" s="15">
        <f>MAX(0,Q17+R3-R11-R14-R15)</f>
        <v/>
      </c>
      <c r="S17" s="15">
        <f>MAX(0,R17+S3-S11-S14-S15)</f>
        <v/>
      </c>
      <c r="T17" s="15">
        <f>MAX(0,S17+T3-T11-T14-T15)</f>
        <v/>
      </c>
      <c r="U17" s="15">
        <f>MAX(0,T17+U3-U11-U14-U15)</f>
        <v/>
      </c>
      <c r="V17" s="15">
        <f>MAX(0,U17+V3-V11-V14-V15)</f>
        <v/>
      </c>
      <c r="W17" s="15">
        <f>MAX(0,V17+W3-W11-W14-W15)</f>
        <v/>
      </c>
      <c r="X17" s="15">
        <f>MAX(0,W17+X3-X11-X14-X15)</f>
        <v/>
      </c>
      <c r="Y17" s="15">
        <f>MAX(0,X17+Y3-Y11-Y14-Y15)</f>
        <v/>
      </c>
    </row>
    <row r="18">
      <c r="A18" s="3" t="inlineStr">
        <is>
          <t>End-of-Month Pro Users</t>
        </is>
      </c>
      <c r="B18" s="15">
        <f>MAX(0,0+B14-B12)</f>
        <v/>
      </c>
      <c r="C18" s="15">
        <f>MAX(0,B18+C14-C12)</f>
        <v/>
      </c>
      <c r="D18" s="15">
        <f>MAX(0,C18+D14-D12)</f>
        <v/>
      </c>
      <c r="E18" s="15">
        <f>MAX(0,D18+E14-E12)</f>
        <v/>
      </c>
      <c r="F18" s="15">
        <f>MAX(0,E18+F14-F12)</f>
        <v/>
      </c>
      <c r="G18" s="15">
        <f>MAX(0,F18+G14-G12)</f>
        <v/>
      </c>
      <c r="H18" s="15">
        <f>MAX(0,G18+H14-H12)</f>
        <v/>
      </c>
      <c r="I18" s="15">
        <f>MAX(0,H18+I14-I12)</f>
        <v/>
      </c>
      <c r="J18" s="15">
        <f>MAX(0,I18+J14-J12)</f>
        <v/>
      </c>
      <c r="K18" s="15">
        <f>MAX(0,J18+K14-K12)</f>
        <v/>
      </c>
      <c r="L18" s="15">
        <f>MAX(0,K18+L14-L12)</f>
        <v/>
      </c>
      <c r="M18" s="15">
        <f>MAX(0,L18+M14-M12)</f>
        <v/>
      </c>
      <c r="N18" s="15">
        <f>MAX(0,M18+N14-N12)</f>
        <v/>
      </c>
      <c r="O18" s="15">
        <f>MAX(0,N18+O14-O12)</f>
        <v/>
      </c>
      <c r="P18" s="15">
        <f>MAX(0,O18+P14-P12)</f>
        <v/>
      </c>
      <c r="Q18" s="15">
        <f>MAX(0,P18+Q14-Q12)</f>
        <v/>
      </c>
      <c r="R18" s="15">
        <f>MAX(0,Q18+R14-R12)</f>
        <v/>
      </c>
      <c r="S18" s="15">
        <f>MAX(0,R18+S14-S12)</f>
        <v/>
      </c>
      <c r="T18" s="15">
        <f>MAX(0,S18+T14-T12)</f>
        <v/>
      </c>
      <c r="U18" s="15">
        <f>MAX(0,T18+U14-U12)</f>
        <v/>
      </c>
      <c r="V18" s="15">
        <f>MAX(0,U18+V14-V12)</f>
        <v/>
      </c>
      <c r="W18" s="15">
        <f>MAX(0,V18+W14-W12)</f>
        <v/>
      </c>
      <c r="X18" s="15">
        <f>MAX(0,W18+X14-X12)</f>
        <v/>
      </c>
      <c r="Y18" s="15">
        <f>MAX(0,X18+Y14-Y12)</f>
        <v/>
      </c>
    </row>
    <row r="19">
      <c r="A19" s="3" t="inlineStr">
        <is>
          <t>End-of-Month Commissioner Users</t>
        </is>
      </c>
      <c r="B19" s="15">
        <f>MAX(0,0+B15-B13)</f>
        <v/>
      </c>
      <c r="C19" s="15">
        <f>MAX(0,B19+C15-C13)</f>
        <v/>
      </c>
      <c r="D19" s="15">
        <f>MAX(0,C19+D15-D13)</f>
        <v/>
      </c>
      <c r="E19" s="15">
        <f>MAX(0,D19+E15-E13)</f>
        <v/>
      </c>
      <c r="F19" s="15">
        <f>MAX(0,E19+F15-F13)</f>
        <v/>
      </c>
      <c r="G19" s="15">
        <f>MAX(0,F19+G15-G13)</f>
        <v/>
      </c>
      <c r="H19" s="15">
        <f>MAX(0,G19+H15-H13)</f>
        <v/>
      </c>
      <c r="I19" s="15">
        <f>MAX(0,H19+I15-I13)</f>
        <v/>
      </c>
      <c r="J19" s="15">
        <f>MAX(0,I19+J15-J13)</f>
        <v/>
      </c>
      <c r="K19" s="15">
        <f>MAX(0,J19+K15-K13)</f>
        <v/>
      </c>
      <c r="L19" s="15">
        <f>MAX(0,K19+L15-L13)</f>
        <v/>
      </c>
      <c r="M19" s="15">
        <f>MAX(0,L19+M15-M13)</f>
        <v/>
      </c>
      <c r="N19" s="15">
        <f>MAX(0,M19+N15-N13)</f>
        <v/>
      </c>
      <c r="O19" s="15">
        <f>MAX(0,N19+O15-O13)</f>
        <v/>
      </c>
      <c r="P19" s="15">
        <f>MAX(0,O19+P15-P13)</f>
        <v/>
      </c>
      <c r="Q19" s="15">
        <f>MAX(0,P19+Q15-Q13)</f>
        <v/>
      </c>
      <c r="R19" s="15">
        <f>MAX(0,Q19+R15-R13)</f>
        <v/>
      </c>
      <c r="S19" s="15">
        <f>MAX(0,R19+S15-S13)</f>
        <v/>
      </c>
      <c r="T19" s="15">
        <f>MAX(0,S19+T15-T13)</f>
        <v/>
      </c>
      <c r="U19" s="15">
        <f>MAX(0,T19+U15-U13)</f>
        <v/>
      </c>
      <c r="V19" s="15">
        <f>MAX(0,U19+V15-V13)</f>
        <v/>
      </c>
      <c r="W19" s="15">
        <f>MAX(0,V19+W15-W13)</f>
        <v/>
      </c>
      <c r="X19" s="15">
        <f>MAX(0,W19+X15-X13)</f>
        <v/>
      </c>
      <c r="Y19" s="15">
        <f>MAX(0,X19+Y15-Y13)</f>
        <v/>
      </c>
    </row>
    <row r="20">
      <c r="A20" s="17" t="inlineStr">
        <is>
          <t>End-of-Month TOTAL Users</t>
        </is>
      </c>
      <c r="B20" s="18">
        <f>B17+B18+B19</f>
        <v/>
      </c>
      <c r="C20" s="18">
        <f>C17+C18+C19</f>
        <v/>
      </c>
      <c r="D20" s="18">
        <f>D17+D18+D19</f>
        <v/>
      </c>
      <c r="E20" s="18">
        <f>E17+E18+E19</f>
        <v/>
      </c>
      <c r="F20" s="18">
        <f>F17+F18+F19</f>
        <v/>
      </c>
      <c r="G20" s="18">
        <f>G17+G18+G19</f>
        <v/>
      </c>
      <c r="H20" s="18">
        <f>H17+H18+H19</f>
        <v/>
      </c>
      <c r="I20" s="18">
        <f>I17+I18+I19</f>
        <v/>
      </c>
      <c r="J20" s="18">
        <f>J17+J18+J19</f>
        <v/>
      </c>
      <c r="K20" s="18">
        <f>K17+K18+K19</f>
        <v/>
      </c>
      <c r="L20" s="18">
        <f>L17+L18+L19</f>
        <v/>
      </c>
      <c r="M20" s="18">
        <f>M17+M18+M19</f>
        <v/>
      </c>
      <c r="N20" s="18">
        <f>N17+N18+N19</f>
        <v/>
      </c>
      <c r="O20" s="18">
        <f>O17+O18+O19</f>
        <v/>
      </c>
      <c r="P20" s="18">
        <f>P17+P18+P19</f>
        <v/>
      </c>
      <c r="Q20" s="18">
        <f>Q17+Q18+Q19</f>
        <v/>
      </c>
      <c r="R20" s="18">
        <f>R17+R18+R19</f>
        <v/>
      </c>
      <c r="S20" s="18">
        <f>S17+S18+S19</f>
        <v/>
      </c>
      <c r="T20" s="18">
        <f>T17+T18+T19</f>
        <v/>
      </c>
      <c r="U20" s="18">
        <f>U17+U18+U19</f>
        <v/>
      </c>
      <c r="V20" s="18">
        <f>V17+V18+V19</f>
        <v/>
      </c>
      <c r="W20" s="18">
        <f>W17+W18+W19</f>
        <v/>
      </c>
      <c r="X20" s="18">
        <f>X17+X18+X19</f>
        <v/>
      </c>
      <c r="Y20" s="18">
        <f>Y17+Y18+Y19</f>
        <v/>
      </c>
    </row>
    <row r="22">
      <c r="A22" s="3" t="inlineStr">
        <is>
          <t>Premium % of Total</t>
        </is>
      </c>
      <c r="B22" s="16">
        <f>IF(B20&gt;0,(B18+B19)/B20,0)</f>
        <v/>
      </c>
      <c r="C22" s="16">
        <f>IF(C20&gt;0,(C18+C19)/C20,0)</f>
        <v/>
      </c>
      <c r="D22" s="16">
        <f>IF(D20&gt;0,(D18+D19)/D20,0)</f>
        <v/>
      </c>
      <c r="E22" s="16">
        <f>IF(E20&gt;0,(E18+E19)/E20,0)</f>
        <v/>
      </c>
      <c r="F22" s="16">
        <f>IF(F20&gt;0,(F18+F19)/F20,0)</f>
        <v/>
      </c>
      <c r="G22" s="16">
        <f>IF(G20&gt;0,(G18+G19)/G20,0)</f>
        <v/>
      </c>
      <c r="H22" s="16">
        <f>IF(H20&gt;0,(H18+H19)/H20,0)</f>
        <v/>
      </c>
      <c r="I22" s="16">
        <f>IF(I20&gt;0,(I18+I19)/I20,0)</f>
        <v/>
      </c>
      <c r="J22" s="16">
        <f>IF(J20&gt;0,(J18+J19)/J20,0)</f>
        <v/>
      </c>
      <c r="K22" s="16">
        <f>IF(K20&gt;0,(K18+K19)/K20,0)</f>
        <v/>
      </c>
      <c r="L22" s="16">
        <f>IF(L20&gt;0,(L18+L19)/L20,0)</f>
        <v/>
      </c>
      <c r="M22" s="16">
        <f>IF(M20&gt;0,(M18+M19)/M20,0)</f>
        <v/>
      </c>
      <c r="N22" s="16">
        <f>IF(N20&gt;0,(N18+N19)/N20,0)</f>
        <v/>
      </c>
      <c r="O22" s="16">
        <f>IF(O20&gt;0,(O18+O19)/O20,0)</f>
        <v/>
      </c>
      <c r="P22" s="16">
        <f>IF(P20&gt;0,(P18+P19)/P20,0)</f>
        <v/>
      </c>
      <c r="Q22" s="16">
        <f>IF(Q20&gt;0,(Q18+Q19)/Q20,0)</f>
        <v/>
      </c>
      <c r="R22" s="16">
        <f>IF(R20&gt;0,(R18+R19)/R20,0)</f>
        <v/>
      </c>
      <c r="S22" s="16">
        <f>IF(S20&gt;0,(S18+S19)/S20,0)</f>
        <v/>
      </c>
      <c r="T22" s="16">
        <f>IF(T20&gt;0,(T18+T19)/T20,0)</f>
        <v/>
      </c>
      <c r="U22" s="16">
        <f>IF(U20&gt;0,(U18+U19)/U20,0)</f>
        <v/>
      </c>
      <c r="V22" s="16">
        <f>IF(V20&gt;0,(V18+V19)/V20,0)</f>
        <v/>
      </c>
      <c r="W22" s="16">
        <f>IF(W20&gt;0,(W18+W19)/W20,0)</f>
        <v/>
      </c>
      <c r="X22" s="16">
        <f>IF(X20&gt;0,(X18+X19)/X20,0)</f>
        <v/>
      </c>
      <c r="Y22" s="16">
        <f>IF(Y20&gt;0,(Y18+Y19)/Y20,0)</f>
        <v/>
      </c>
    </row>
    <row r="23">
      <c r="A23" s="3" t="inlineStr">
        <is>
          <t>Blended Monthly Churn Rate</t>
        </is>
      </c>
      <c r="B23" s="16">
        <f>IF(B20+B11+B12+B13&gt;0,(B11+B12+B13)/(B20+B11+B12+B13),0)</f>
        <v/>
      </c>
      <c r="C23" s="16">
        <f>IF(C20+C11+C12+C13&gt;0,(C11+C12+C13)/(C20+C11+C12+C13),0)</f>
        <v/>
      </c>
      <c r="D23" s="16">
        <f>IF(D20+D11+D12+D13&gt;0,(D11+D12+D13)/(D20+D11+D12+D13),0)</f>
        <v/>
      </c>
      <c r="E23" s="16">
        <f>IF(E20+E11+E12+E13&gt;0,(E11+E12+E13)/(E20+E11+E12+E13),0)</f>
        <v/>
      </c>
      <c r="F23" s="16">
        <f>IF(F20+F11+F12+F13&gt;0,(F11+F12+F13)/(F20+F11+F12+F13),0)</f>
        <v/>
      </c>
      <c r="G23" s="16">
        <f>IF(G20+G11+G12+G13&gt;0,(G11+G12+G13)/(G20+G11+G12+G13),0)</f>
        <v/>
      </c>
      <c r="H23" s="16">
        <f>IF(H20+H11+H12+H13&gt;0,(H11+H12+H13)/(H20+H11+H12+H13),0)</f>
        <v/>
      </c>
      <c r="I23" s="16">
        <f>IF(I20+I11+I12+I13&gt;0,(I11+I12+I13)/(I20+I11+I12+I13),0)</f>
        <v/>
      </c>
      <c r="J23" s="16">
        <f>IF(J20+J11+J12+J13&gt;0,(J11+J12+J13)/(J20+J11+J12+J13),0)</f>
        <v/>
      </c>
      <c r="K23" s="16">
        <f>IF(K20+K11+K12+K13&gt;0,(K11+K12+K13)/(K20+K11+K12+K13),0)</f>
        <v/>
      </c>
      <c r="L23" s="16">
        <f>IF(L20+L11+L12+L13&gt;0,(L11+L12+L13)/(L20+L11+L12+L13),0)</f>
        <v/>
      </c>
      <c r="M23" s="16">
        <f>IF(M20+M11+M12+M13&gt;0,(M11+M12+M13)/(M20+M11+M12+M13),0)</f>
        <v/>
      </c>
      <c r="N23" s="16">
        <f>IF(N20+N11+N12+N13&gt;0,(N11+N12+N13)/(N20+N11+N12+N13),0)</f>
        <v/>
      </c>
      <c r="O23" s="16">
        <f>IF(O20+O11+O12+O13&gt;0,(O11+O12+O13)/(O20+O11+O12+O13),0)</f>
        <v/>
      </c>
      <c r="P23" s="16">
        <f>IF(P20+P11+P12+P13&gt;0,(P11+P12+P13)/(P20+P11+P12+P13),0)</f>
        <v/>
      </c>
      <c r="Q23" s="16">
        <f>IF(Q20+Q11+Q12+Q13&gt;0,(Q11+Q12+Q13)/(Q20+Q11+Q12+Q13),0)</f>
        <v/>
      </c>
      <c r="R23" s="16">
        <f>IF(R20+R11+R12+R13&gt;0,(R11+R12+R13)/(R20+R11+R12+R13),0)</f>
        <v/>
      </c>
      <c r="S23" s="16">
        <f>IF(S20+S11+S12+S13&gt;0,(S11+S12+S13)/(S20+S11+S12+S13),0)</f>
        <v/>
      </c>
      <c r="T23" s="16">
        <f>IF(T20+T11+T12+T13&gt;0,(T11+T12+T13)/(T20+T11+T12+T13),0)</f>
        <v/>
      </c>
      <c r="U23" s="16">
        <f>IF(U20+U11+U12+U13&gt;0,(U11+U12+U13)/(U20+U11+U12+U13),0)</f>
        <v/>
      </c>
      <c r="V23" s="16">
        <f>IF(V20+V11+V12+V13&gt;0,(V11+V12+V13)/(V20+V11+V12+V13),0)</f>
        <v/>
      </c>
      <c r="W23" s="16">
        <f>IF(W20+W11+W12+W13&gt;0,(W11+W12+W13)/(W20+W11+W12+W13),0)</f>
        <v/>
      </c>
      <c r="X23" s="16">
        <f>IF(X20+X11+X12+X13&gt;0,(X11+X12+X13)/(X20+X11+X12+X13),0)</f>
        <v/>
      </c>
      <c r="Y23" s="16">
        <f>IF(Y20+Y11+Y12+Y13&gt;0,(Y11+Y12+Y13)/(Y20+Y11+Y12+Y13),0)</f>
        <v/>
      </c>
    </row>
    <row r="24">
      <c r="A24" s="3" t="inlineStr">
        <is>
          <t>Monthly Retention Rate</t>
        </is>
      </c>
      <c r="B24" s="16">
        <f>1-B23</f>
        <v/>
      </c>
      <c r="C24" s="16">
        <f>1-C23</f>
        <v/>
      </c>
      <c r="D24" s="16">
        <f>1-D23</f>
        <v/>
      </c>
      <c r="E24" s="16">
        <f>1-E23</f>
        <v/>
      </c>
      <c r="F24" s="16">
        <f>1-F23</f>
        <v/>
      </c>
      <c r="G24" s="16">
        <f>1-G23</f>
        <v/>
      </c>
      <c r="H24" s="16">
        <f>1-H23</f>
        <v/>
      </c>
      <c r="I24" s="16">
        <f>1-I23</f>
        <v/>
      </c>
      <c r="J24" s="16">
        <f>1-J23</f>
        <v/>
      </c>
      <c r="K24" s="16">
        <f>1-K23</f>
        <v/>
      </c>
      <c r="L24" s="16">
        <f>1-L23</f>
        <v/>
      </c>
      <c r="M24" s="16">
        <f>1-M23</f>
        <v/>
      </c>
      <c r="N24" s="16">
        <f>1-N23</f>
        <v/>
      </c>
      <c r="O24" s="16">
        <f>1-O23</f>
        <v/>
      </c>
      <c r="P24" s="16">
        <f>1-P23</f>
        <v/>
      </c>
      <c r="Q24" s="16">
        <f>1-Q23</f>
        <v/>
      </c>
      <c r="R24" s="16">
        <f>1-R23</f>
        <v/>
      </c>
      <c r="S24" s="16">
        <f>1-S23</f>
        <v/>
      </c>
      <c r="T24" s="16">
        <f>1-T23</f>
        <v/>
      </c>
      <c r="U24" s="16">
        <f>1-U23</f>
        <v/>
      </c>
      <c r="V24" s="16">
        <f>1-V23</f>
        <v/>
      </c>
      <c r="W24" s="16">
        <f>1-W23</f>
        <v/>
      </c>
      <c r="X24" s="16">
        <f>1-X23</f>
        <v/>
      </c>
      <c r="Y24" s="16">
        <f>1-Y23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Revenue Line</t>
        </is>
      </c>
      <c r="B1" s="1" t="inlineStr">
        <is>
          <t>Apr-26</t>
        </is>
      </c>
      <c r="C1" s="1" t="inlineStr">
        <is>
          <t>May-26</t>
        </is>
      </c>
      <c r="D1" s="1" t="inlineStr">
        <is>
          <t>Jun-26</t>
        </is>
      </c>
      <c r="E1" s="1" t="inlineStr">
        <is>
          <t>Jul-26</t>
        </is>
      </c>
      <c r="F1" s="1" t="inlineStr">
        <is>
          <t>Aug-26</t>
        </is>
      </c>
      <c r="G1" s="1" t="inlineStr">
        <is>
          <t>Sep-26</t>
        </is>
      </c>
      <c r="H1" s="1" t="inlineStr">
        <is>
          <t>Oct-26</t>
        </is>
      </c>
      <c r="I1" s="1" t="inlineStr">
        <is>
          <t>Nov-26</t>
        </is>
      </c>
      <c r="J1" s="1" t="inlineStr">
        <is>
          <t>Dec-26</t>
        </is>
      </c>
      <c r="K1" s="1" t="inlineStr">
        <is>
          <t>Jan-27</t>
        </is>
      </c>
      <c r="L1" s="1" t="inlineStr">
        <is>
          <t>Feb-27</t>
        </is>
      </c>
      <c r="M1" s="1" t="inlineStr">
        <is>
          <t>Mar-27</t>
        </is>
      </c>
      <c r="N1" s="1" t="inlineStr">
        <is>
          <t>Apr-27</t>
        </is>
      </c>
      <c r="O1" s="1" t="inlineStr">
        <is>
          <t>May-27</t>
        </is>
      </c>
      <c r="P1" s="1" t="inlineStr">
        <is>
          <t>Jun-27</t>
        </is>
      </c>
      <c r="Q1" s="1" t="inlineStr">
        <is>
          <t>Jul-27</t>
        </is>
      </c>
      <c r="R1" s="1" t="inlineStr">
        <is>
          <t>Aug-27</t>
        </is>
      </c>
      <c r="S1" s="1" t="inlineStr">
        <is>
          <t>Sep-27</t>
        </is>
      </c>
      <c r="T1" s="1" t="inlineStr">
        <is>
          <t>Oct-27</t>
        </is>
      </c>
      <c r="U1" s="1" t="inlineStr">
        <is>
          <t>Nov-27</t>
        </is>
      </c>
      <c r="V1" s="1" t="inlineStr">
        <is>
          <t>Dec-27</t>
        </is>
      </c>
      <c r="W1" s="1" t="inlineStr">
        <is>
          <t>Jan-28</t>
        </is>
      </c>
      <c r="X1" s="1" t="inlineStr">
        <is>
          <t>Feb-28</t>
        </is>
      </c>
      <c r="Y1" s="1" t="inlineStr">
        <is>
          <t>Mar-28</t>
        </is>
      </c>
    </row>
    <row r="2">
      <c r="A2" s="2" t="inlineStr">
        <is>
          <t>SUBSCRIPTION REVENUE</t>
        </is>
      </c>
    </row>
    <row r="3">
      <c r="A3" s="3" t="inlineStr">
        <is>
          <t xml:space="preserve">  Pro Monthly Billing</t>
        </is>
      </c>
      <c r="B3" s="15">
        <f>IF('User Growth'!B2="IN-SEASON",'User Growth'!B18*Assumptions!$B$7*Assumptions!$B$3,0)</f>
        <v/>
      </c>
      <c r="C3" s="15">
        <f>IF('User Growth'!C2="IN-SEASON",'User Growth'!C18*Assumptions!$B$7*Assumptions!$B$3,0)</f>
        <v/>
      </c>
      <c r="D3" s="15">
        <f>IF('User Growth'!D2="IN-SEASON",'User Growth'!D18*Assumptions!$B$7*Assumptions!$B$3,0)</f>
        <v/>
      </c>
      <c r="E3" s="15">
        <f>IF('User Growth'!E2="IN-SEASON",'User Growth'!E18*Assumptions!$B$7*Assumptions!$B$3,0)</f>
        <v/>
      </c>
      <c r="F3" s="15">
        <f>IF('User Growth'!F2="IN-SEASON",'User Growth'!F18*Assumptions!$B$7*Assumptions!$B$3,0)</f>
        <v/>
      </c>
      <c r="G3" s="15">
        <f>IF('User Growth'!G2="IN-SEASON",'User Growth'!G18*Assumptions!$B$7*Assumptions!$B$3,0)</f>
        <v/>
      </c>
      <c r="H3" s="15">
        <f>IF('User Growth'!H2="IN-SEASON",'User Growth'!H18*Assumptions!$B$7*Assumptions!$B$3,0)</f>
        <v/>
      </c>
      <c r="I3" s="15">
        <f>IF('User Growth'!I2="IN-SEASON",'User Growth'!I18*Assumptions!$B$7*Assumptions!$B$3,0)</f>
        <v/>
      </c>
      <c r="J3" s="15">
        <f>IF('User Growth'!J2="IN-SEASON",'User Growth'!J18*Assumptions!$B$7*Assumptions!$B$3,0)</f>
        <v/>
      </c>
      <c r="K3" s="15">
        <f>IF('User Growth'!K2="IN-SEASON",'User Growth'!K18*Assumptions!$B$7*Assumptions!$B$3,0)</f>
        <v/>
      </c>
      <c r="L3" s="15">
        <f>IF('User Growth'!L2="IN-SEASON",'User Growth'!L18*Assumptions!$B$7*Assumptions!$B$3,0)</f>
        <v/>
      </c>
      <c r="M3" s="15">
        <f>IF('User Growth'!M2="IN-SEASON",'User Growth'!M18*Assumptions!$B$7*Assumptions!$B$3,0)</f>
        <v/>
      </c>
      <c r="N3" s="15">
        <f>IF('User Growth'!N2="IN-SEASON",'User Growth'!N18*Assumptions!$B$7*Assumptions!$B$3,0)</f>
        <v/>
      </c>
      <c r="O3" s="15">
        <f>IF('User Growth'!O2="IN-SEASON",'User Growth'!O18*Assumptions!$B$7*Assumptions!$B$3,0)</f>
        <v/>
      </c>
      <c r="P3" s="15">
        <f>IF('User Growth'!P2="IN-SEASON",'User Growth'!P18*Assumptions!$B$7*Assumptions!$B$3,0)</f>
        <v/>
      </c>
      <c r="Q3" s="15">
        <f>IF('User Growth'!Q2="IN-SEASON",'User Growth'!Q18*Assumptions!$B$7*Assumptions!$B$3,0)</f>
        <v/>
      </c>
      <c r="R3" s="15">
        <f>IF('User Growth'!R2="IN-SEASON",'User Growth'!R18*Assumptions!$B$7*Assumptions!$B$3,0)</f>
        <v/>
      </c>
      <c r="S3" s="15">
        <f>IF('User Growth'!S2="IN-SEASON",'User Growth'!S18*Assumptions!$B$7*Assumptions!$B$3,0)</f>
        <v/>
      </c>
      <c r="T3" s="15">
        <f>IF('User Growth'!T2="IN-SEASON",'User Growth'!T18*Assumptions!$B$7*Assumptions!$B$3,0)</f>
        <v/>
      </c>
      <c r="U3" s="15">
        <f>IF('User Growth'!U2="IN-SEASON",'User Growth'!U18*Assumptions!$B$7*Assumptions!$B$3,0)</f>
        <v/>
      </c>
      <c r="V3" s="15">
        <f>IF('User Growth'!V2="IN-SEASON",'User Growth'!V18*Assumptions!$B$7*Assumptions!$B$3,0)</f>
        <v/>
      </c>
      <c r="W3" s="15">
        <f>IF('User Growth'!W2="IN-SEASON",'User Growth'!W18*Assumptions!$B$7*Assumptions!$B$3,0)</f>
        <v/>
      </c>
      <c r="X3" s="15">
        <f>IF('User Growth'!X2="IN-SEASON",'User Growth'!X18*Assumptions!$B$7*Assumptions!$B$3,0)</f>
        <v/>
      </c>
      <c r="Y3" s="15">
        <f>IF('User Growth'!Y2="IN-SEASON",'User Growth'!Y18*Assumptions!$B$7*Assumptions!$B$3,0)</f>
        <v/>
      </c>
    </row>
    <row r="4">
      <c r="A4" s="3" t="inlineStr">
        <is>
          <t xml:space="preserve">  Pro Annual Billing</t>
        </is>
      </c>
      <c r="B4" s="15">
        <f>'User Growth'!B18*Assumptions!$B$6*Assumptions!$B$3</f>
        <v/>
      </c>
      <c r="C4" s="15">
        <f>'User Growth'!C18*Assumptions!$B$6*Assumptions!$B$3</f>
        <v/>
      </c>
      <c r="D4" s="15">
        <f>'User Growth'!D18*Assumptions!$B$6*Assumptions!$B$3</f>
        <v/>
      </c>
      <c r="E4" s="15">
        <f>'User Growth'!E18*Assumptions!$B$6*Assumptions!$B$3</f>
        <v/>
      </c>
      <c r="F4" s="15">
        <f>'User Growth'!F18*Assumptions!$B$6*Assumptions!$B$3</f>
        <v/>
      </c>
      <c r="G4" s="15">
        <f>'User Growth'!G18*Assumptions!$B$6*Assumptions!$B$3</f>
        <v/>
      </c>
      <c r="H4" s="15">
        <f>'User Growth'!H18*Assumptions!$B$6*Assumptions!$B$3</f>
        <v/>
      </c>
      <c r="I4" s="15">
        <f>'User Growth'!I18*Assumptions!$B$6*Assumptions!$B$3</f>
        <v/>
      </c>
      <c r="J4" s="15">
        <f>'User Growth'!J18*Assumptions!$B$6*Assumptions!$B$3</f>
        <v/>
      </c>
      <c r="K4" s="15">
        <f>'User Growth'!K18*Assumptions!$B$6*Assumptions!$B$3</f>
        <v/>
      </c>
      <c r="L4" s="15">
        <f>'User Growth'!L18*Assumptions!$B$6*Assumptions!$B$3</f>
        <v/>
      </c>
      <c r="M4" s="15">
        <f>'User Growth'!M18*Assumptions!$B$6*Assumptions!$B$3</f>
        <v/>
      </c>
      <c r="N4" s="15">
        <f>'User Growth'!N18*Assumptions!$B$6*Assumptions!$B$3</f>
        <v/>
      </c>
      <c r="O4" s="15">
        <f>'User Growth'!O18*Assumptions!$B$6*Assumptions!$B$3</f>
        <v/>
      </c>
      <c r="P4" s="15">
        <f>'User Growth'!P18*Assumptions!$B$6*Assumptions!$B$3</f>
        <v/>
      </c>
      <c r="Q4" s="15">
        <f>'User Growth'!Q18*Assumptions!$B$6*Assumptions!$B$3</f>
        <v/>
      </c>
      <c r="R4" s="15">
        <f>'User Growth'!R18*Assumptions!$B$6*Assumptions!$B$3</f>
        <v/>
      </c>
      <c r="S4" s="15">
        <f>'User Growth'!S18*Assumptions!$B$6*Assumptions!$B$3</f>
        <v/>
      </c>
      <c r="T4" s="15">
        <f>'User Growth'!T18*Assumptions!$B$6*Assumptions!$B$3</f>
        <v/>
      </c>
      <c r="U4" s="15">
        <f>'User Growth'!U18*Assumptions!$B$6*Assumptions!$B$3</f>
        <v/>
      </c>
      <c r="V4" s="15">
        <f>'User Growth'!V18*Assumptions!$B$6*Assumptions!$B$3</f>
        <v/>
      </c>
      <c r="W4" s="15">
        <f>'User Growth'!W18*Assumptions!$B$6*Assumptions!$B$3</f>
        <v/>
      </c>
      <c r="X4" s="15">
        <f>'User Growth'!X18*Assumptions!$B$6*Assumptions!$B$3</f>
        <v/>
      </c>
      <c r="Y4" s="15">
        <f>'User Growth'!Y18*Assumptions!$B$6*Assumptions!$B$3</f>
        <v/>
      </c>
    </row>
    <row r="5">
      <c r="A5" s="3" t="inlineStr">
        <is>
          <t xml:space="preserve">  Commissioner Monthly Billing</t>
        </is>
      </c>
      <c r="B5" s="15">
        <f>IF('User Growth'!B2="IN-SEASON",'User Growth'!B19*Assumptions!$B$7*Assumptions!$B$4,0)</f>
        <v/>
      </c>
      <c r="C5" s="15">
        <f>IF('User Growth'!C2="IN-SEASON",'User Growth'!C19*Assumptions!$B$7*Assumptions!$B$4,0)</f>
        <v/>
      </c>
      <c r="D5" s="15">
        <f>IF('User Growth'!D2="IN-SEASON",'User Growth'!D19*Assumptions!$B$7*Assumptions!$B$4,0)</f>
        <v/>
      </c>
      <c r="E5" s="15">
        <f>IF('User Growth'!E2="IN-SEASON",'User Growth'!E19*Assumptions!$B$7*Assumptions!$B$4,0)</f>
        <v/>
      </c>
      <c r="F5" s="15">
        <f>IF('User Growth'!F2="IN-SEASON",'User Growth'!F19*Assumptions!$B$7*Assumptions!$B$4,0)</f>
        <v/>
      </c>
      <c r="G5" s="15">
        <f>IF('User Growth'!G2="IN-SEASON",'User Growth'!G19*Assumptions!$B$7*Assumptions!$B$4,0)</f>
        <v/>
      </c>
      <c r="H5" s="15">
        <f>IF('User Growth'!H2="IN-SEASON",'User Growth'!H19*Assumptions!$B$7*Assumptions!$B$4,0)</f>
        <v/>
      </c>
      <c r="I5" s="15">
        <f>IF('User Growth'!I2="IN-SEASON",'User Growth'!I19*Assumptions!$B$7*Assumptions!$B$4,0)</f>
        <v/>
      </c>
      <c r="J5" s="15">
        <f>IF('User Growth'!J2="IN-SEASON",'User Growth'!J19*Assumptions!$B$7*Assumptions!$B$4,0)</f>
        <v/>
      </c>
      <c r="K5" s="15">
        <f>IF('User Growth'!K2="IN-SEASON",'User Growth'!K19*Assumptions!$B$7*Assumptions!$B$4,0)</f>
        <v/>
      </c>
      <c r="L5" s="15">
        <f>IF('User Growth'!L2="IN-SEASON",'User Growth'!L19*Assumptions!$B$7*Assumptions!$B$4,0)</f>
        <v/>
      </c>
      <c r="M5" s="15">
        <f>IF('User Growth'!M2="IN-SEASON",'User Growth'!M19*Assumptions!$B$7*Assumptions!$B$4,0)</f>
        <v/>
      </c>
      <c r="N5" s="15">
        <f>IF('User Growth'!N2="IN-SEASON",'User Growth'!N19*Assumptions!$B$7*Assumptions!$B$4,0)</f>
        <v/>
      </c>
      <c r="O5" s="15">
        <f>IF('User Growth'!O2="IN-SEASON",'User Growth'!O19*Assumptions!$B$7*Assumptions!$B$4,0)</f>
        <v/>
      </c>
      <c r="P5" s="15">
        <f>IF('User Growth'!P2="IN-SEASON",'User Growth'!P19*Assumptions!$B$7*Assumptions!$B$4,0)</f>
        <v/>
      </c>
      <c r="Q5" s="15">
        <f>IF('User Growth'!Q2="IN-SEASON",'User Growth'!Q19*Assumptions!$B$7*Assumptions!$B$4,0)</f>
        <v/>
      </c>
      <c r="R5" s="15">
        <f>IF('User Growth'!R2="IN-SEASON",'User Growth'!R19*Assumptions!$B$7*Assumptions!$B$4,0)</f>
        <v/>
      </c>
      <c r="S5" s="15">
        <f>IF('User Growth'!S2="IN-SEASON",'User Growth'!S19*Assumptions!$B$7*Assumptions!$B$4,0)</f>
        <v/>
      </c>
      <c r="T5" s="15">
        <f>IF('User Growth'!T2="IN-SEASON",'User Growth'!T19*Assumptions!$B$7*Assumptions!$B$4,0)</f>
        <v/>
      </c>
      <c r="U5" s="15">
        <f>IF('User Growth'!U2="IN-SEASON",'User Growth'!U19*Assumptions!$B$7*Assumptions!$B$4,0)</f>
        <v/>
      </c>
      <c r="V5" s="15">
        <f>IF('User Growth'!V2="IN-SEASON",'User Growth'!V19*Assumptions!$B$7*Assumptions!$B$4,0)</f>
        <v/>
      </c>
      <c r="W5" s="15">
        <f>IF('User Growth'!W2="IN-SEASON",'User Growth'!W19*Assumptions!$B$7*Assumptions!$B$4,0)</f>
        <v/>
      </c>
      <c r="X5" s="15">
        <f>IF('User Growth'!X2="IN-SEASON",'User Growth'!X19*Assumptions!$B$7*Assumptions!$B$4,0)</f>
        <v/>
      </c>
      <c r="Y5" s="15">
        <f>IF('User Growth'!Y2="IN-SEASON",'User Growth'!Y19*Assumptions!$B$7*Assumptions!$B$4,0)</f>
        <v/>
      </c>
    </row>
    <row r="6">
      <c r="A6" s="3" t="inlineStr">
        <is>
          <t xml:space="preserve">  Commissioner Annual Billing</t>
        </is>
      </c>
      <c r="B6" s="15">
        <f>'User Growth'!B19*Assumptions!$B$6*Assumptions!$B$4</f>
        <v/>
      </c>
      <c r="C6" s="15">
        <f>'User Growth'!C19*Assumptions!$B$6*Assumptions!$B$4</f>
        <v/>
      </c>
      <c r="D6" s="15">
        <f>'User Growth'!D19*Assumptions!$B$6*Assumptions!$B$4</f>
        <v/>
      </c>
      <c r="E6" s="15">
        <f>'User Growth'!E19*Assumptions!$B$6*Assumptions!$B$4</f>
        <v/>
      </c>
      <c r="F6" s="15">
        <f>'User Growth'!F19*Assumptions!$B$6*Assumptions!$B$4</f>
        <v/>
      </c>
      <c r="G6" s="15">
        <f>'User Growth'!G19*Assumptions!$B$6*Assumptions!$B$4</f>
        <v/>
      </c>
      <c r="H6" s="15">
        <f>'User Growth'!H19*Assumptions!$B$6*Assumptions!$B$4</f>
        <v/>
      </c>
      <c r="I6" s="15">
        <f>'User Growth'!I19*Assumptions!$B$6*Assumptions!$B$4</f>
        <v/>
      </c>
      <c r="J6" s="15">
        <f>'User Growth'!J19*Assumptions!$B$6*Assumptions!$B$4</f>
        <v/>
      </c>
      <c r="K6" s="15">
        <f>'User Growth'!K19*Assumptions!$B$6*Assumptions!$B$4</f>
        <v/>
      </c>
      <c r="L6" s="15">
        <f>'User Growth'!L19*Assumptions!$B$6*Assumptions!$B$4</f>
        <v/>
      </c>
      <c r="M6" s="15">
        <f>'User Growth'!M19*Assumptions!$B$6*Assumptions!$B$4</f>
        <v/>
      </c>
      <c r="N6" s="15">
        <f>'User Growth'!N19*Assumptions!$B$6*Assumptions!$B$4</f>
        <v/>
      </c>
      <c r="O6" s="15">
        <f>'User Growth'!O19*Assumptions!$B$6*Assumptions!$B$4</f>
        <v/>
      </c>
      <c r="P6" s="15">
        <f>'User Growth'!P19*Assumptions!$B$6*Assumptions!$B$4</f>
        <v/>
      </c>
      <c r="Q6" s="15">
        <f>'User Growth'!Q19*Assumptions!$B$6*Assumptions!$B$4</f>
        <v/>
      </c>
      <c r="R6" s="15">
        <f>'User Growth'!R19*Assumptions!$B$6*Assumptions!$B$4</f>
        <v/>
      </c>
      <c r="S6" s="15">
        <f>'User Growth'!S19*Assumptions!$B$6*Assumptions!$B$4</f>
        <v/>
      </c>
      <c r="T6" s="15">
        <f>'User Growth'!T19*Assumptions!$B$6*Assumptions!$B$4</f>
        <v/>
      </c>
      <c r="U6" s="15">
        <f>'User Growth'!U19*Assumptions!$B$6*Assumptions!$B$4</f>
        <v/>
      </c>
      <c r="V6" s="15">
        <f>'User Growth'!V19*Assumptions!$B$6*Assumptions!$B$4</f>
        <v/>
      </c>
      <c r="W6" s="15">
        <f>'User Growth'!W19*Assumptions!$B$6*Assumptions!$B$4</f>
        <v/>
      </c>
      <c r="X6" s="15">
        <f>'User Growth'!X19*Assumptions!$B$6*Assumptions!$B$4</f>
        <v/>
      </c>
      <c r="Y6" s="15">
        <f>'User Growth'!Y19*Assumptions!$B$6*Assumptions!$B$4</f>
        <v/>
      </c>
    </row>
    <row r="7">
      <c r="A7" s="3" t="inlineStr">
        <is>
          <t xml:space="preserve">  Gross Subscription Revenue</t>
        </is>
      </c>
      <c r="B7" s="15">
        <f>B3+B4+B5+B6</f>
        <v/>
      </c>
      <c r="C7" s="15">
        <f>C3+C4+C5+C6</f>
        <v/>
      </c>
      <c r="D7" s="15">
        <f>D3+D4+D5+D6</f>
        <v/>
      </c>
      <c r="E7" s="15">
        <f>E3+E4+E5+E6</f>
        <v/>
      </c>
      <c r="F7" s="15">
        <f>F3+F4+F5+F6</f>
        <v/>
      </c>
      <c r="G7" s="15">
        <f>G3+G4+G5+G6</f>
        <v/>
      </c>
      <c r="H7" s="15">
        <f>H3+H4+H5+H6</f>
        <v/>
      </c>
      <c r="I7" s="15">
        <f>I3+I4+I5+I6</f>
        <v/>
      </c>
      <c r="J7" s="15">
        <f>J3+J4+J5+J6</f>
        <v/>
      </c>
      <c r="K7" s="15">
        <f>K3+K4+K5+K6</f>
        <v/>
      </c>
      <c r="L7" s="15">
        <f>L3+L4+L5+L6</f>
        <v/>
      </c>
      <c r="M7" s="15">
        <f>M3+M4+M5+M6</f>
        <v/>
      </c>
      <c r="N7" s="15">
        <f>N3+N4+N5+N6</f>
        <v/>
      </c>
      <c r="O7" s="15">
        <f>O3+O4+O5+O6</f>
        <v/>
      </c>
      <c r="P7" s="15">
        <f>P3+P4+P5+P6</f>
        <v/>
      </c>
      <c r="Q7" s="15">
        <f>Q3+Q4+Q5+Q6</f>
        <v/>
      </c>
      <c r="R7" s="15">
        <f>R3+R4+R5+R6</f>
        <v/>
      </c>
      <c r="S7" s="15">
        <f>S3+S4+S5+S6</f>
        <v/>
      </c>
      <c r="T7" s="15">
        <f>T3+T4+T5+T6</f>
        <v/>
      </c>
      <c r="U7" s="15">
        <f>U3+U4+U5+U6</f>
        <v/>
      </c>
      <c r="V7" s="15">
        <f>V3+V4+V5+V6</f>
        <v/>
      </c>
      <c r="W7" s="15">
        <f>W3+W4+W5+W6</f>
        <v/>
      </c>
      <c r="X7" s="15">
        <f>X3+X4+X5+X6</f>
        <v/>
      </c>
      <c r="Y7" s="15">
        <f>Y3+Y4+Y5+Y6</f>
        <v/>
      </c>
    </row>
    <row r="8">
      <c r="A8" s="3" t="inlineStr">
        <is>
          <t xml:space="preserve">  Less: Annual Billing Discount</t>
        </is>
      </c>
      <c r="B8" s="15">
        <f>-(B4+B6)*Assumptions!$B$5</f>
        <v/>
      </c>
      <c r="C8" s="15">
        <f>-(C4+C6)*Assumptions!$B$5</f>
        <v/>
      </c>
      <c r="D8" s="15">
        <f>-(D4+D6)*Assumptions!$B$5</f>
        <v/>
      </c>
      <c r="E8" s="15">
        <f>-(E4+E6)*Assumptions!$B$5</f>
        <v/>
      </c>
      <c r="F8" s="15">
        <f>-(F4+F6)*Assumptions!$B$5</f>
        <v/>
      </c>
      <c r="G8" s="15">
        <f>-(G4+G6)*Assumptions!$B$5</f>
        <v/>
      </c>
      <c r="H8" s="15">
        <f>-(H4+H6)*Assumptions!$B$5</f>
        <v/>
      </c>
      <c r="I8" s="15">
        <f>-(I4+I6)*Assumptions!$B$5</f>
        <v/>
      </c>
      <c r="J8" s="15">
        <f>-(J4+J6)*Assumptions!$B$5</f>
        <v/>
      </c>
      <c r="K8" s="15">
        <f>-(K4+K6)*Assumptions!$B$5</f>
        <v/>
      </c>
      <c r="L8" s="15">
        <f>-(L4+L6)*Assumptions!$B$5</f>
        <v/>
      </c>
      <c r="M8" s="15">
        <f>-(M4+M6)*Assumptions!$B$5</f>
        <v/>
      </c>
      <c r="N8" s="15">
        <f>-(N4+N6)*Assumptions!$B$5</f>
        <v/>
      </c>
      <c r="O8" s="15">
        <f>-(O4+O6)*Assumptions!$B$5</f>
        <v/>
      </c>
      <c r="P8" s="15">
        <f>-(P4+P6)*Assumptions!$B$5</f>
        <v/>
      </c>
      <c r="Q8" s="15">
        <f>-(Q4+Q6)*Assumptions!$B$5</f>
        <v/>
      </c>
      <c r="R8" s="15">
        <f>-(R4+R6)*Assumptions!$B$5</f>
        <v/>
      </c>
      <c r="S8" s="15">
        <f>-(S4+S6)*Assumptions!$B$5</f>
        <v/>
      </c>
      <c r="T8" s="15">
        <f>-(T4+T6)*Assumptions!$B$5</f>
        <v/>
      </c>
      <c r="U8" s="15">
        <f>-(U4+U6)*Assumptions!$B$5</f>
        <v/>
      </c>
      <c r="V8" s="15">
        <f>-(V4+V6)*Assumptions!$B$5</f>
        <v/>
      </c>
      <c r="W8" s="15">
        <f>-(W4+W6)*Assumptions!$B$5</f>
        <v/>
      </c>
      <c r="X8" s="15">
        <f>-(X4+X6)*Assumptions!$B$5</f>
        <v/>
      </c>
      <c r="Y8" s="15">
        <f>-(Y4+Y6)*Assumptions!$B$5</f>
        <v/>
      </c>
    </row>
    <row r="9">
      <c r="A9" s="17" t="inlineStr">
        <is>
          <t xml:space="preserve">  NET SUBSCRIPTION REVENUE</t>
        </is>
      </c>
      <c r="B9" s="18">
        <f>B7+B8</f>
        <v/>
      </c>
      <c r="C9" s="18">
        <f>C7+C8</f>
        <v/>
      </c>
      <c r="D9" s="18">
        <f>D7+D8</f>
        <v/>
      </c>
      <c r="E9" s="18">
        <f>E7+E8</f>
        <v/>
      </c>
      <c r="F9" s="18">
        <f>F7+F8</f>
        <v/>
      </c>
      <c r="G9" s="18">
        <f>G7+G8</f>
        <v/>
      </c>
      <c r="H9" s="18">
        <f>H7+H8</f>
        <v/>
      </c>
      <c r="I9" s="18">
        <f>I7+I8</f>
        <v/>
      </c>
      <c r="J9" s="18">
        <f>J7+J8</f>
        <v/>
      </c>
      <c r="K9" s="18">
        <f>K7+K8</f>
        <v/>
      </c>
      <c r="L9" s="18">
        <f>L7+L8</f>
        <v/>
      </c>
      <c r="M9" s="18">
        <f>M7+M8</f>
        <v/>
      </c>
      <c r="N9" s="18">
        <f>N7+N8</f>
        <v/>
      </c>
      <c r="O9" s="18">
        <f>O7+O8</f>
        <v/>
      </c>
      <c r="P9" s="18">
        <f>P7+P8</f>
        <v/>
      </c>
      <c r="Q9" s="18">
        <f>Q7+Q8</f>
        <v/>
      </c>
      <c r="R9" s="18">
        <f>R7+R8</f>
        <v/>
      </c>
      <c r="S9" s="18">
        <f>S7+S8</f>
        <v/>
      </c>
      <c r="T9" s="18">
        <f>T7+T8</f>
        <v/>
      </c>
      <c r="U9" s="18">
        <f>U7+U8</f>
        <v/>
      </c>
      <c r="V9" s="18">
        <f>V7+V8</f>
        <v/>
      </c>
      <c r="W9" s="18">
        <f>W7+W8</f>
        <v/>
      </c>
      <c r="X9" s="18">
        <f>X7+X8</f>
        <v/>
      </c>
      <c r="Y9" s="18">
        <f>Y7+Y8</f>
        <v/>
      </c>
    </row>
    <row r="11">
      <c r="A11" s="2" t="inlineStr">
        <is>
          <t>PAY-PER-USE REVENUE</t>
        </is>
      </c>
    </row>
    <row r="12">
      <c r="A12" s="3" t="inlineStr">
        <is>
          <t xml:space="preserve">  Token Top-Ups (Free @ $2.99)</t>
        </is>
      </c>
      <c r="B12" s="15">
        <f>'User Growth'!B17*Assumptions!$B$34*Assumptions!$B$32</f>
        <v/>
      </c>
      <c r="C12" s="15">
        <f>'User Growth'!C17*Assumptions!$B$34*Assumptions!$B$32</f>
        <v/>
      </c>
      <c r="D12" s="15">
        <f>'User Growth'!D17*Assumptions!$B$34*Assumptions!$B$32</f>
        <v/>
      </c>
      <c r="E12" s="15">
        <f>'User Growth'!E17*Assumptions!$B$34*Assumptions!$B$32</f>
        <v/>
      </c>
      <c r="F12" s="15">
        <f>'User Growth'!F17*Assumptions!$B$34*Assumptions!$B$32</f>
        <v/>
      </c>
      <c r="G12" s="15">
        <f>'User Growth'!G17*Assumptions!$B$34*Assumptions!$B$32</f>
        <v/>
      </c>
      <c r="H12" s="15">
        <f>'User Growth'!H17*Assumptions!$B$34*Assumptions!$B$32</f>
        <v/>
      </c>
      <c r="I12" s="15">
        <f>'User Growth'!I17*Assumptions!$B$34*Assumptions!$B$32</f>
        <v/>
      </c>
      <c r="J12" s="15">
        <f>'User Growth'!J17*Assumptions!$B$34*Assumptions!$B$32</f>
        <v/>
      </c>
      <c r="K12" s="15">
        <f>'User Growth'!K17*Assumptions!$B$34*Assumptions!$B$32</f>
        <v/>
      </c>
      <c r="L12" s="15">
        <f>'User Growth'!L17*Assumptions!$B$34*Assumptions!$B$32</f>
        <v/>
      </c>
      <c r="M12" s="15">
        <f>'User Growth'!M17*Assumptions!$B$34*Assumptions!$B$32</f>
        <v/>
      </c>
      <c r="N12" s="15">
        <f>'User Growth'!N17*Assumptions!$B$34*Assumptions!$B$32</f>
        <v/>
      </c>
      <c r="O12" s="15">
        <f>'User Growth'!O17*Assumptions!$B$34*Assumptions!$B$32</f>
        <v/>
      </c>
      <c r="P12" s="15">
        <f>'User Growth'!P17*Assumptions!$B$34*Assumptions!$B$32</f>
        <v/>
      </c>
      <c r="Q12" s="15">
        <f>'User Growth'!Q17*Assumptions!$B$34*Assumptions!$B$32</f>
        <v/>
      </c>
      <c r="R12" s="15">
        <f>'User Growth'!R17*Assumptions!$B$34*Assumptions!$B$32</f>
        <v/>
      </c>
      <c r="S12" s="15">
        <f>'User Growth'!S17*Assumptions!$B$34*Assumptions!$B$32</f>
        <v/>
      </c>
      <c r="T12" s="15">
        <f>'User Growth'!T17*Assumptions!$B$34*Assumptions!$B$32</f>
        <v/>
      </c>
      <c r="U12" s="15">
        <f>'User Growth'!U17*Assumptions!$B$34*Assumptions!$B$32</f>
        <v/>
      </c>
      <c r="V12" s="15">
        <f>'User Growth'!V17*Assumptions!$B$34*Assumptions!$B$32</f>
        <v/>
      </c>
      <c r="W12" s="15">
        <f>'User Growth'!W17*Assumptions!$B$34*Assumptions!$B$32</f>
        <v/>
      </c>
      <c r="X12" s="15">
        <f>'User Growth'!X17*Assumptions!$B$34*Assumptions!$B$32</f>
        <v/>
      </c>
      <c r="Y12" s="15">
        <f>'User Growth'!Y17*Assumptions!$B$34*Assumptions!$B$32</f>
        <v/>
      </c>
    </row>
    <row r="13">
      <c r="A13" s="3" t="inlineStr">
        <is>
          <t xml:space="preserve">  Token Top-Ups (Paid @ $1.99)</t>
        </is>
      </c>
      <c r="B13" s="15">
        <f>('User Growth'!B18+'User Growth'!B19)*Assumptions!$B$35*Assumptions!$B$33</f>
        <v/>
      </c>
      <c r="C13" s="15">
        <f>('User Growth'!C18+'User Growth'!C19)*Assumptions!$B$35*Assumptions!$B$33</f>
        <v/>
      </c>
      <c r="D13" s="15">
        <f>('User Growth'!D18+'User Growth'!D19)*Assumptions!$B$35*Assumptions!$B$33</f>
        <v/>
      </c>
      <c r="E13" s="15">
        <f>('User Growth'!E18+'User Growth'!E19)*Assumptions!$B$35*Assumptions!$B$33</f>
        <v/>
      </c>
      <c r="F13" s="15">
        <f>('User Growth'!F18+'User Growth'!F19)*Assumptions!$B$35*Assumptions!$B$33</f>
        <v/>
      </c>
      <c r="G13" s="15">
        <f>('User Growth'!G18+'User Growth'!G19)*Assumptions!$B$35*Assumptions!$B$33</f>
        <v/>
      </c>
      <c r="H13" s="15">
        <f>('User Growth'!H18+'User Growth'!H19)*Assumptions!$B$35*Assumptions!$B$33</f>
        <v/>
      </c>
      <c r="I13" s="15">
        <f>('User Growth'!I18+'User Growth'!I19)*Assumptions!$B$35*Assumptions!$B$33</f>
        <v/>
      </c>
      <c r="J13" s="15">
        <f>('User Growth'!J18+'User Growth'!J19)*Assumptions!$B$35*Assumptions!$B$33</f>
        <v/>
      </c>
      <c r="K13" s="15">
        <f>('User Growth'!K18+'User Growth'!K19)*Assumptions!$B$35*Assumptions!$B$33</f>
        <v/>
      </c>
      <c r="L13" s="15">
        <f>('User Growth'!L18+'User Growth'!L19)*Assumptions!$B$35*Assumptions!$B$33</f>
        <v/>
      </c>
      <c r="M13" s="15">
        <f>('User Growth'!M18+'User Growth'!M19)*Assumptions!$B$35*Assumptions!$B$33</f>
        <v/>
      </c>
      <c r="N13" s="15">
        <f>('User Growth'!N18+'User Growth'!N19)*Assumptions!$B$35*Assumptions!$B$33</f>
        <v/>
      </c>
      <c r="O13" s="15">
        <f>('User Growth'!O18+'User Growth'!O19)*Assumptions!$B$35*Assumptions!$B$33</f>
        <v/>
      </c>
      <c r="P13" s="15">
        <f>('User Growth'!P18+'User Growth'!P19)*Assumptions!$B$35*Assumptions!$B$33</f>
        <v/>
      </c>
      <c r="Q13" s="15">
        <f>('User Growth'!Q18+'User Growth'!Q19)*Assumptions!$B$35*Assumptions!$B$33</f>
        <v/>
      </c>
      <c r="R13" s="15">
        <f>('User Growth'!R18+'User Growth'!R19)*Assumptions!$B$35*Assumptions!$B$33</f>
        <v/>
      </c>
      <c r="S13" s="15">
        <f>('User Growth'!S18+'User Growth'!S19)*Assumptions!$B$35*Assumptions!$B$33</f>
        <v/>
      </c>
      <c r="T13" s="15">
        <f>('User Growth'!T18+'User Growth'!T19)*Assumptions!$B$35*Assumptions!$B$33</f>
        <v/>
      </c>
      <c r="U13" s="15">
        <f>('User Growth'!U18+'User Growth'!U19)*Assumptions!$B$35*Assumptions!$B$33</f>
        <v/>
      </c>
      <c r="V13" s="15">
        <f>('User Growth'!V18+'User Growth'!V19)*Assumptions!$B$35*Assumptions!$B$33</f>
        <v/>
      </c>
      <c r="W13" s="15">
        <f>('User Growth'!W18+'User Growth'!W19)*Assumptions!$B$35*Assumptions!$B$33</f>
        <v/>
      </c>
      <c r="X13" s="15">
        <f>('User Growth'!X18+'User Growth'!X19)*Assumptions!$B$35*Assumptions!$B$33</f>
        <v/>
      </c>
      <c r="Y13" s="15">
        <f>('User Growth'!Y18+'User Growth'!Y19)*Assumptions!$B$35*Assumptions!$B$33</f>
        <v/>
      </c>
    </row>
    <row r="14">
      <c r="A14" s="3" t="inlineStr">
        <is>
          <t xml:space="preserve">  Draft Kits (Seasonal)</t>
        </is>
      </c>
      <c r="B14" s="15">
        <f>IF(OR(COLUMN()=7,COLUMN()=8,COLUMN()=19,COLUMN()=20),'User Growth'!B20*Assumptions!$B$37*Assumptions!$B$36,0)</f>
        <v/>
      </c>
      <c r="C14" s="15">
        <f>IF(OR(COLUMN()=7,COLUMN()=8,COLUMN()=19,COLUMN()=20),'User Growth'!C20*Assumptions!$B$37*Assumptions!$B$36,0)</f>
        <v/>
      </c>
      <c r="D14" s="15">
        <f>IF(OR(COLUMN()=7,COLUMN()=8,COLUMN()=19,COLUMN()=20),'User Growth'!D20*Assumptions!$B$37*Assumptions!$B$36,0)</f>
        <v/>
      </c>
      <c r="E14" s="15">
        <f>IF(OR(COLUMN()=7,COLUMN()=8,COLUMN()=19,COLUMN()=20),'User Growth'!E20*Assumptions!$B$37*Assumptions!$B$36,0)</f>
        <v/>
      </c>
      <c r="F14" s="15">
        <f>IF(OR(COLUMN()=7,COLUMN()=8,COLUMN()=19,COLUMN()=20),'User Growth'!F20*Assumptions!$B$37*Assumptions!$B$36,0)</f>
        <v/>
      </c>
      <c r="G14" s="15">
        <f>IF(OR(COLUMN()=7,COLUMN()=8,COLUMN()=19,COLUMN()=20),'User Growth'!G20*Assumptions!$B$37*Assumptions!$B$36,0)</f>
        <v/>
      </c>
      <c r="H14" s="15">
        <f>IF(OR(COLUMN()=7,COLUMN()=8,COLUMN()=19,COLUMN()=20),'User Growth'!H20*Assumptions!$B$37*Assumptions!$B$36,0)</f>
        <v/>
      </c>
      <c r="I14" s="15">
        <f>IF(OR(COLUMN()=7,COLUMN()=8,COLUMN()=19,COLUMN()=20),'User Growth'!I20*Assumptions!$B$37*Assumptions!$B$36,0)</f>
        <v/>
      </c>
      <c r="J14" s="15">
        <f>IF(OR(COLUMN()=7,COLUMN()=8,COLUMN()=19,COLUMN()=20),'User Growth'!J20*Assumptions!$B$37*Assumptions!$B$36,0)</f>
        <v/>
      </c>
      <c r="K14" s="15">
        <f>IF(OR(COLUMN()=7,COLUMN()=8,COLUMN()=19,COLUMN()=20),'User Growth'!K20*Assumptions!$B$37*Assumptions!$B$36,0)</f>
        <v/>
      </c>
      <c r="L14" s="15">
        <f>IF(OR(COLUMN()=7,COLUMN()=8,COLUMN()=19,COLUMN()=20),'User Growth'!L20*Assumptions!$B$37*Assumptions!$B$36,0)</f>
        <v/>
      </c>
      <c r="M14" s="15">
        <f>IF(OR(COLUMN()=7,COLUMN()=8,COLUMN()=19,COLUMN()=20),'User Growth'!M20*Assumptions!$B$37*Assumptions!$B$36,0)</f>
        <v/>
      </c>
      <c r="N14" s="15">
        <f>IF(OR(COLUMN()=7,COLUMN()=8,COLUMN()=19,COLUMN()=20),'User Growth'!N20*Assumptions!$B$37*Assumptions!$B$36,0)</f>
        <v/>
      </c>
      <c r="O14" s="15">
        <f>IF(OR(COLUMN()=7,COLUMN()=8,COLUMN()=19,COLUMN()=20),'User Growth'!O20*Assumptions!$B$37*Assumptions!$B$36,0)</f>
        <v/>
      </c>
      <c r="P14" s="15">
        <f>IF(OR(COLUMN()=7,COLUMN()=8,COLUMN()=19,COLUMN()=20),'User Growth'!P20*Assumptions!$B$37*Assumptions!$B$36,0)</f>
        <v/>
      </c>
      <c r="Q14" s="15">
        <f>IF(OR(COLUMN()=7,COLUMN()=8,COLUMN()=19,COLUMN()=20),'User Growth'!Q20*Assumptions!$B$37*Assumptions!$B$36,0)</f>
        <v/>
      </c>
      <c r="R14" s="15">
        <f>IF(OR(COLUMN()=7,COLUMN()=8,COLUMN()=19,COLUMN()=20),'User Growth'!R20*Assumptions!$B$37*Assumptions!$B$36,0)</f>
        <v/>
      </c>
      <c r="S14" s="15">
        <f>IF(OR(COLUMN()=7,COLUMN()=8,COLUMN()=19,COLUMN()=20),'User Growth'!S20*Assumptions!$B$37*Assumptions!$B$36,0)</f>
        <v/>
      </c>
      <c r="T14" s="15">
        <f>IF(OR(COLUMN()=7,COLUMN()=8,COLUMN()=19,COLUMN()=20),'User Growth'!T20*Assumptions!$B$37*Assumptions!$B$36,0)</f>
        <v/>
      </c>
      <c r="U14" s="15">
        <f>IF(OR(COLUMN()=7,COLUMN()=8,COLUMN()=19,COLUMN()=20),'User Growth'!U20*Assumptions!$B$37*Assumptions!$B$36,0)</f>
        <v/>
      </c>
      <c r="V14" s="15">
        <f>IF(OR(COLUMN()=7,COLUMN()=8,COLUMN()=19,COLUMN()=20),'User Growth'!V20*Assumptions!$B$37*Assumptions!$B$36,0)</f>
        <v/>
      </c>
      <c r="W14" s="15">
        <f>IF(OR(COLUMN()=7,COLUMN()=8,COLUMN()=19,COLUMN()=20),'User Growth'!W20*Assumptions!$B$37*Assumptions!$B$36,0)</f>
        <v/>
      </c>
      <c r="X14" s="15">
        <f>IF(OR(COLUMN()=7,COLUMN()=8,COLUMN()=19,COLUMN()=20),'User Growth'!X20*Assumptions!$B$37*Assumptions!$B$36,0)</f>
        <v/>
      </c>
      <c r="Y14" s="15">
        <f>IF(OR(COLUMN()=7,COLUMN()=8,COLUMN()=19,COLUMN()=20),'User Growth'!Y20*Assumptions!$B$37*Assumptions!$B$36,0)</f>
        <v/>
      </c>
    </row>
    <row r="15">
      <c r="A15" s="17" t="inlineStr">
        <is>
          <t xml:space="preserve">  NET PAY-PER-USE REVENUE</t>
        </is>
      </c>
      <c r="B15" s="18">
        <f>B12+B13+B14</f>
        <v/>
      </c>
      <c r="C15" s="18">
        <f>C12+C13+C14</f>
        <v/>
      </c>
      <c r="D15" s="18">
        <f>D12+D13+D14</f>
        <v/>
      </c>
      <c r="E15" s="18">
        <f>E12+E13+E14</f>
        <v/>
      </c>
      <c r="F15" s="18">
        <f>F12+F13+F14</f>
        <v/>
      </c>
      <c r="G15" s="18">
        <f>G12+G13+G14</f>
        <v/>
      </c>
      <c r="H15" s="18">
        <f>H12+H13+H14</f>
        <v/>
      </c>
      <c r="I15" s="18">
        <f>I12+I13+I14</f>
        <v/>
      </c>
      <c r="J15" s="18">
        <f>J12+J13+J14</f>
        <v/>
      </c>
      <c r="K15" s="18">
        <f>K12+K13+K14</f>
        <v/>
      </c>
      <c r="L15" s="18">
        <f>L12+L13+L14</f>
        <v/>
      </c>
      <c r="M15" s="18">
        <f>M12+M13+M14</f>
        <v/>
      </c>
      <c r="N15" s="18">
        <f>N12+N13+N14</f>
        <v/>
      </c>
      <c r="O15" s="18">
        <f>O12+O13+O14</f>
        <v/>
      </c>
      <c r="P15" s="18">
        <f>P12+P13+P14</f>
        <v/>
      </c>
      <c r="Q15" s="18">
        <f>Q12+Q13+Q14</f>
        <v/>
      </c>
      <c r="R15" s="18">
        <f>R12+R13+R14</f>
        <v/>
      </c>
      <c r="S15" s="18">
        <f>S12+S13+S14</f>
        <v/>
      </c>
      <c r="T15" s="18">
        <f>T12+T13+T14</f>
        <v/>
      </c>
      <c r="U15" s="18">
        <f>U12+U13+U14</f>
        <v/>
      </c>
      <c r="V15" s="18">
        <f>V12+V13+V14</f>
        <v/>
      </c>
      <c r="W15" s="18">
        <f>W12+W13+W14</f>
        <v/>
      </c>
      <c r="X15" s="18">
        <f>X12+X13+X14</f>
        <v/>
      </c>
      <c r="Y15" s="18">
        <f>Y12+Y13+Y14</f>
        <v/>
      </c>
    </row>
    <row r="17">
      <c r="A17" s="2" t="inlineStr">
        <is>
          <t>DFS REVENUE</t>
        </is>
      </c>
    </row>
    <row r="18">
      <c r="A18" s="3" t="inlineStr">
        <is>
          <t xml:space="preserve">  Gross DFS Entry Fees (info)</t>
        </is>
      </c>
      <c r="B18" s="15">
        <f>IF(AND(COLUMN()-2&gt;=Assumptions!$B$44,'User Growth'!B2="IN-SEASON"),'User Growth'!B20*Assumptions!$B$42*Assumptions!$B$43*Assumptions!$B$41,0)</f>
        <v/>
      </c>
      <c r="C18" s="15">
        <f>IF(AND(COLUMN()-2&gt;=Assumptions!$B$44,'User Growth'!C2="IN-SEASON"),'User Growth'!C20*Assumptions!$B$42*Assumptions!$B$43*Assumptions!$B$41,0)</f>
        <v/>
      </c>
      <c r="D18" s="15">
        <f>IF(AND(COLUMN()-2&gt;=Assumptions!$B$44,'User Growth'!D2="IN-SEASON"),'User Growth'!D20*Assumptions!$B$42*Assumptions!$B$43*Assumptions!$B$41,0)</f>
        <v/>
      </c>
      <c r="E18" s="15">
        <f>IF(AND(COLUMN()-2&gt;=Assumptions!$B$44,'User Growth'!E2="IN-SEASON"),'User Growth'!E20*Assumptions!$B$42*Assumptions!$B$43*Assumptions!$B$41,0)</f>
        <v/>
      </c>
      <c r="F18" s="15">
        <f>IF(AND(COLUMN()-2&gt;=Assumptions!$B$44,'User Growth'!F2="IN-SEASON"),'User Growth'!F20*Assumptions!$B$42*Assumptions!$B$43*Assumptions!$B$41,0)</f>
        <v/>
      </c>
      <c r="G18" s="15">
        <f>IF(AND(COLUMN()-2&gt;=Assumptions!$B$44,'User Growth'!G2="IN-SEASON"),'User Growth'!G20*Assumptions!$B$42*Assumptions!$B$43*Assumptions!$B$41,0)</f>
        <v/>
      </c>
      <c r="H18" s="15">
        <f>IF(AND(COLUMN()-2&gt;=Assumptions!$B$44,'User Growth'!H2="IN-SEASON"),'User Growth'!H20*Assumptions!$B$42*Assumptions!$B$43*Assumptions!$B$41,0)</f>
        <v/>
      </c>
      <c r="I18" s="15">
        <f>IF(AND(COLUMN()-2&gt;=Assumptions!$B$44,'User Growth'!I2="IN-SEASON"),'User Growth'!I20*Assumptions!$B$42*Assumptions!$B$43*Assumptions!$B$41,0)</f>
        <v/>
      </c>
      <c r="J18" s="15">
        <f>IF(AND(COLUMN()-2&gt;=Assumptions!$B$44,'User Growth'!J2="IN-SEASON"),'User Growth'!J20*Assumptions!$B$42*Assumptions!$B$43*Assumptions!$B$41,0)</f>
        <v/>
      </c>
      <c r="K18" s="15">
        <f>IF(AND(COLUMN()-2&gt;=Assumptions!$B$44,'User Growth'!K2="IN-SEASON"),'User Growth'!K20*Assumptions!$B$42*Assumptions!$B$43*Assumptions!$B$41,0)</f>
        <v/>
      </c>
      <c r="L18" s="15">
        <f>IF(AND(COLUMN()-2&gt;=Assumptions!$B$44,'User Growth'!L2="IN-SEASON"),'User Growth'!L20*Assumptions!$B$42*Assumptions!$B$43*Assumptions!$B$41,0)</f>
        <v/>
      </c>
      <c r="M18" s="15">
        <f>IF(AND(COLUMN()-2&gt;=Assumptions!$B$44,'User Growth'!M2="IN-SEASON"),'User Growth'!M20*Assumptions!$B$42*Assumptions!$B$43*Assumptions!$B$41,0)</f>
        <v/>
      </c>
      <c r="N18" s="15">
        <f>IF(AND(COLUMN()-2&gt;=Assumptions!$B$44,'User Growth'!N2="IN-SEASON"),'User Growth'!N20*Assumptions!$B$42*Assumptions!$B$43*Assumptions!$B$41,0)</f>
        <v/>
      </c>
      <c r="O18" s="15">
        <f>IF(AND(COLUMN()-2&gt;=Assumptions!$B$44,'User Growth'!O2="IN-SEASON"),'User Growth'!O20*Assumptions!$B$42*Assumptions!$B$43*Assumptions!$B$41,0)</f>
        <v/>
      </c>
      <c r="P18" s="15">
        <f>IF(AND(COLUMN()-2&gt;=Assumptions!$B$44,'User Growth'!P2="IN-SEASON"),'User Growth'!P20*Assumptions!$B$42*Assumptions!$B$43*Assumptions!$B$41,0)</f>
        <v/>
      </c>
      <c r="Q18" s="15">
        <f>IF(AND(COLUMN()-2&gt;=Assumptions!$B$44,'User Growth'!Q2="IN-SEASON"),'User Growth'!Q20*Assumptions!$B$42*Assumptions!$B$43*Assumptions!$B$41,0)</f>
        <v/>
      </c>
      <c r="R18" s="15">
        <f>IF(AND(COLUMN()-2&gt;=Assumptions!$B$44,'User Growth'!R2="IN-SEASON"),'User Growth'!R20*Assumptions!$B$42*Assumptions!$B$43*Assumptions!$B$41,0)</f>
        <v/>
      </c>
      <c r="S18" s="15">
        <f>IF(AND(COLUMN()-2&gt;=Assumptions!$B$44,'User Growth'!S2="IN-SEASON"),'User Growth'!S20*Assumptions!$B$42*Assumptions!$B$43*Assumptions!$B$41,0)</f>
        <v/>
      </c>
      <c r="T18" s="15">
        <f>IF(AND(COLUMN()-2&gt;=Assumptions!$B$44,'User Growth'!T2="IN-SEASON"),'User Growth'!T20*Assumptions!$B$42*Assumptions!$B$43*Assumptions!$B$41,0)</f>
        <v/>
      </c>
      <c r="U18" s="15">
        <f>IF(AND(COLUMN()-2&gt;=Assumptions!$B$44,'User Growth'!U2="IN-SEASON"),'User Growth'!U20*Assumptions!$B$42*Assumptions!$B$43*Assumptions!$B$41,0)</f>
        <v/>
      </c>
      <c r="V18" s="15">
        <f>IF(AND(COLUMN()-2&gt;=Assumptions!$B$44,'User Growth'!V2="IN-SEASON"),'User Growth'!V20*Assumptions!$B$42*Assumptions!$B$43*Assumptions!$B$41,0)</f>
        <v/>
      </c>
      <c r="W18" s="15">
        <f>IF(AND(COLUMN()-2&gt;=Assumptions!$B$44,'User Growth'!W2="IN-SEASON"),'User Growth'!W20*Assumptions!$B$42*Assumptions!$B$43*Assumptions!$B$41,0)</f>
        <v/>
      </c>
      <c r="X18" s="15">
        <f>IF(AND(COLUMN()-2&gt;=Assumptions!$B$44,'User Growth'!X2="IN-SEASON"),'User Growth'!X20*Assumptions!$B$42*Assumptions!$B$43*Assumptions!$B$41,0)</f>
        <v/>
      </c>
      <c r="Y18" s="15">
        <f>IF(AND(COLUMN()-2&gt;=Assumptions!$B$44,'User Growth'!Y2="IN-SEASON"),'User Growth'!Y20*Assumptions!$B$42*Assumptions!$B$43*Assumptions!$B$41,0)</f>
        <v/>
      </c>
    </row>
    <row r="19">
      <c r="A19" s="3" t="inlineStr">
        <is>
          <t xml:space="preserve">  DFS Rake Revenue</t>
        </is>
      </c>
      <c r="B19" s="15">
        <f>B18*Assumptions!$B$40</f>
        <v/>
      </c>
      <c r="C19" s="15">
        <f>C18*Assumptions!$B$40</f>
        <v/>
      </c>
      <c r="D19" s="15">
        <f>D18*Assumptions!$B$40</f>
        <v/>
      </c>
      <c r="E19" s="15">
        <f>E18*Assumptions!$B$40</f>
        <v/>
      </c>
      <c r="F19" s="15">
        <f>F18*Assumptions!$B$40</f>
        <v/>
      </c>
      <c r="G19" s="15">
        <f>G18*Assumptions!$B$40</f>
        <v/>
      </c>
      <c r="H19" s="15">
        <f>H18*Assumptions!$B$40</f>
        <v/>
      </c>
      <c r="I19" s="15">
        <f>I18*Assumptions!$B$40</f>
        <v/>
      </c>
      <c r="J19" s="15">
        <f>J18*Assumptions!$B$40</f>
        <v/>
      </c>
      <c r="K19" s="15">
        <f>K18*Assumptions!$B$40</f>
        <v/>
      </c>
      <c r="L19" s="15">
        <f>L18*Assumptions!$B$40</f>
        <v/>
      </c>
      <c r="M19" s="15">
        <f>M18*Assumptions!$B$40</f>
        <v/>
      </c>
      <c r="N19" s="15">
        <f>N18*Assumptions!$B$40</f>
        <v/>
      </c>
      <c r="O19" s="15">
        <f>O18*Assumptions!$B$40</f>
        <v/>
      </c>
      <c r="P19" s="15">
        <f>P18*Assumptions!$B$40</f>
        <v/>
      </c>
      <c r="Q19" s="15">
        <f>Q18*Assumptions!$B$40</f>
        <v/>
      </c>
      <c r="R19" s="15">
        <f>R18*Assumptions!$B$40</f>
        <v/>
      </c>
      <c r="S19" s="15">
        <f>S18*Assumptions!$B$40</f>
        <v/>
      </c>
      <c r="T19" s="15">
        <f>T18*Assumptions!$B$40</f>
        <v/>
      </c>
      <c r="U19" s="15">
        <f>U18*Assumptions!$B$40</f>
        <v/>
      </c>
      <c r="V19" s="15">
        <f>V18*Assumptions!$B$40</f>
        <v/>
      </c>
      <c r="W19" s="15">
        <f>W18*Assumptions!$B$40</f>
        <v/>
      </c>
      <c r="X19" s="15">
        <f>X18*Assumptions!$B$40</f>
        <v/>
      </c>
      <c r="Y19" s="15">
        <f>Y18*Assumptions!$B$40</f>
        <v/>
      </c>
    </row>
    <row r="20">
      <c r="A20" s="17" t="inlineStr">
        <is>
          <t xml:space="preserve">  NET DFS REVENUE</t>
        </is>
      </c>
      <c r="B20" s="18">
        <f>B19</f>
        <v/>
      </c>
      <c r="C20" s="18">
        <f>C19</f>
        <v/>
      </c>
      <c r="D20" s="18">
        <f>D19</f>
        <v/>
      </c>
      <c r="E20" s="18">
        <f>E19</f>
        <v/>
      </c>
      <c r="F20" s="18">
        <f>F19</f>
        <v/>
      </c>
      <c r="G20" s="18">
        <f>G19</f>
        <v/>
      </c>
      <c r="H20" s="18">
        <f>H19</f>
        <v/>
      </c>
      <c r="I20" s="18">
        <f>I19</f>
        <v/>
      </c>
      <c r="J20" s="18">
        <f>J19</f>
        <v/>
      </c>
      <c r="K20" s="18">
        <f>K19</f>
        <v/>
      </c>
      <c r="L20" s="18">
        <f>L19</f>
        <v/>
      </c>
      <c r="M20" s="18">
        <f>M19</f>
        <v/>
      </c>
      <c r="N20" s="18">
        <f>N19</f>
        <v/>
      </c>
      <c r="O20" s="18">
        <f>O19</f>
        <v/>
      </c>
      <c r="P20" s="18">
        <f>P19</f>
        <v/>
      </c>
      <c r="Q20" s="18">
        <f>Q19</f>
        <v/>
      </c>
      <c r="R20" s="18">
        <f>R19</f>
        <v/>
      </c>
      <c r="S20" s="18">
        <f>S19</f>
        <v/>
      </c>
      <c r="T20" s="18">
        <f>T19</f>
        <v/>
      </c>
      <c r="U20" s="18">
        <f>U19</f>
        <v/>
      </c>
      <c r="V20" s="18">
        <f>V19</f>
        <v/>
      </c>
      <c r="W20" s="18">
        <f>W19</f>
        <v/>
      </c>
      <c r="X20" s="18">
        <f>X19</f>
        <v/>
      </c>
      <c r="Y20" s="18">
        <f>Y19</f>
        <v/>
      </c>
    </row>
    <row r="22">
      <c r="A22" s="2" t="inlineStr">
        <is>
          <t>ADVERTISING REVENUE</t>
        </is>
      </c>
    </row>
    <row r="23">
      <c r="A23" s="3" t="inlineStr">
        <is>
          <t xml:space="preserve">  Ad Impressions (000s)</t>
        </is>
      </c>
      <c r="B23" s="15">
        <f>'User Growth'!B17*IF('User Growth'!B2="IN-SEASON",Assumptions!$B$48,Assumptions!$B$49)*Assumptions!$B$50/1000</f>
        <v/>
      </c>
      <c r="C23" s="15">
        <f>'User Growth'!C17*IF('User Growth'!C2="IN-SEASON",Assumptions!$B$48,Assumptions!$B$49)*Assumptions!$B$50/1000</f>
        <v/>
      </c>
      <c r="D23" s="15">
        <f>'User Growth'!D17*IF('User Growth'!D2="IN-SEASON",Assumptions!$B$48,Assumptions!$B$49)*Assumptions!$B$50/1000</f>
        <v/>
      </c>
      <c r="E23" s="15">
        <f>'User Growth'!E17*IF('User Growth'!E2="IN-SEASON",Assumptions!$B$48,Assumptions!$B$49)*Assumptions!$B$50/1000</f>
        <v/>
      </c>
      <c r="F23" s="15">
        <f>'User Growth'!F17*IF('User Growth'!F2="IN-SEASON",Assumptions!$B$48,Assumptions!$B$49)*Assumptions!$B$50/1000</f>
        <v/>
      </c>
      <c r="G23" s="15">
        <f>'User Growth'!G17*IF('User Growth'!G2="IN-SEASON",Assumptions!$B$48,Assumptions!$B$49)*Assumptions!$B$50/1000</f>
        <v/>
      </c>
      <c r="H23" s="15">
        <f>'User Growth'!H17*IF('User Growth'!H2="IN-SEASON",Assumptions!$B$48,Assumptions!$B$49)*Assumptions!$B$50/1000</f>
        <v/>
      </c>
      <c r="I23" s="15">
        <f>'User Growth'!I17*IF('User Growth'!I2="IN-SEASON",Assumptions!$B$48,Assumptions!$B$49)*Assumptions!$B$50/1000</f>
        <v/>
      </c>
      <c r="J23" s="15">
        <f>'User Growth'!J17*IF('User Growth'!J2="IN-SEASON",Assumptions!$B$48,Assumptions!$B$49)*Assumptions!$B$50/1000</f>
        <v/>
      </c>
      <c r="K23" s="15">
        <f>'User Growth'!K17*IF('User Growth'!K2="IN-SEASON",Assumptions!$B$48,Assumptions!$B$49)*Assumptions!$B$50/1000</f>
        <v/>
      </c>
      <c r="L23" s="15">
        <f>'User Growth'!L17*IF('User Growth'!L2="IN-SEASON",Assumptions!$B$48,Assumptions!$B$49)*Assumptions!$B$50/1000</f>
        <v/>
      </c>
      <c r="M23" s="15">
        <f>'User Growth'!M17*IF('User Growth'!M2="IN-SEASON",Assumptions!$B$48,Assumptions!$B$49)*Assumptions!$B$50/1000</f>
        <v/>
      </c>
      <c r="N23" s="15">
        <f>'User Growth'!N17*IF('User Growth'!N2="IN-SEASON",Assumptions!$B$48,Assumptions!$B$49)*Assumptions!$B$50/1000</f>
        <v/>
      </c>
      <c r="O23" s="15">
        <f>'User Growth'!O17*IF('User Growth'!O2="IN-SEASON",Assumptions!$B$48,Assumptions!$B$49)*Assumptions!$B$50/1000</f>
        <v/>
      </c>
      <c r="P23" s="15">
        <f>'User Growth'!P17*IF('User Growth'!P2="IN-SEASON",Assumptions!$B$48,Assumptions!$B$49)*Assumptions!$B$50/1000</f>
        <v/>
      </c>
      <c r="Q23" s="15">
        <f>'User Growth'!Q17*IF('User Growth'!Q2="IN-SEASON",Assumptions!$B$48,Assumptions!$B$49)*Assumptions!$B$50/1000</f>
        <v/>
      </c>
      <c r="R23" s="15">
        <f>'User Growth'!R17*IF('User Growth'!R2="IN-SEASON",Assumptions!$B$48,Assumptions!$B$49)*Assumptions!$B$50/1000</f>
        <v/>
      </c>
      <c r="S23" s="15">
        <f>'User Growth'!S17*IF('User Growth'!S2="IN-SEASON",Assumptions!$B$48,Assumptions!$B$49)*Assumptions!$B$50/1000</f>
        <v/>
      </c>
      <c r="T23" s="15">
        <f>'User Growth'!T17*IF('User Growth'!T2="IN-SEASON",Assumptions!$B$48,Assumptions!$B$49)*Assumptions!$B$50/1000</f>
        <v/>
      </c>
      <c r="U23" s="15">
        <f>'User Growth'!U17*IF('User Growth'!U2="IN-SEASON",Assumptions!$B$48,Assumptions!$B$49)*Assumptions!$B$50/1000</f>
        <v/>
      </c>
      <c r="V23" s="15">
        <f>'User Growth'!V17*IF('User Growth'!V2="IN-SEASON",Assumptions!$B$48,Assumptions!$B$49)*Assumptions!$B$50/1000</f>
        <v/>
      </c>
      <c r="W23" s="15">
        <f>'User Growth'!W17*IF('User Growth'!W2="IN-SEASON",Assumptions!$B$48,Assumptions!$B$49)*Assumptions!$B$50/1000</f>
        <v/>
      </c>
      <c r="X23" s="15">
        <f>'User Growth'!X17*IF('User Growth'!X2="IN-SEASON",Assumptions!$B$48,Assumptions!$B$49)*Assumptions!$B$50/1000</f>
        <v/>
      </c>
      <c r="Y23" s="15">
        <f>'User Growth'!Y17*IF('User Growth'!Y2="IN-SEASON",Assumptions!$B$48,Assumptions!$B$49)*Assumptions!$B$50/1000</f>
        <v/>
      </c>
    </row>
    <row r="24">
      <c r="A24" s="3" t="inlineStr">
        <is>
          <t xml:space="preserve">  Ad Revenue</t>
        </is>
      </c>
      <c r="B24" s="15">
        <f>B23*Assumptions!$B$47</f>
        <v/>
      </c>
      <c r="C24" s="15">
        <f>C23*Assumptions!$B$47</f>
        <v/>
      </c>
      <c r="D24" s="15">
        <f>D23*Assumptions!$B$47</f>
        <v/>
      </c>
      <c r="E24" s="15">
        <f>E23*Assumptions!$B$47</f>
        <v/>
      </c>
      <c r="F24" s="15">
        <f>F23*Assumptions!$B$47</f>
        <v/>
      </c>
      <c r="G24" s="15">
        <f>G23*Assumptions!$B$47</f>
        <v/>
      </c>
      <c r="H24" s="15">
        <f>H23*Assumptions!$B$47</f>
        <v/>
      </c>
      <c r="I24" s="15">
        <f>I23*Assumptions!$B$47</f>
        <v/>
      </c>
      <c r="J24" s="15">
        <f>J23*Assumptions!$B$47</f>
        <v/>
      </c>
      <c r="K24" s="15">
        <f>K23*Assumptions!$B$47</f>
        <v/>
      </c>
      <c r="L24" s="15">
        <f>L23*Assumptions!$B$47</f>
        <v/>
      </c>
      <c r="M24" s="15">
        <f>M23*Assumptions!$B$47</f>
        <v/>
      </c>
      <c r="N24" s="15">
        <f>N23*Assumptions!$B$47</f>
        <v/>
      </c>
      <c r="O24" s="15">
        <f>O23*Assumptions!$B$47</f>
        <v/>
      </c>
      <c r="P24" s="15">
        <f>P23*Assumptions!$B$47</f>
        <v/>
      </c>
      <c r="Q24" s="15">
        <f>Q23*Assumptions!$B$47</f>
        <v/>
      </c>
      <c r="R24" s="15">
        <f>R23*Assumptions!$B$47</f>
        <v/>
      </c>
      <c r="S24" s="15">
        <f>S23*Assumptions!$B$47</f>
        <v/>
      </c>
      <c r="T24" s="15">
        <f>T23*Assumptions!$B$47</f>
        <v/>
      </c>
      <c r="U24" s="15">
        <f>U23*Assumptions!$B$47</f>
        <v/>
      </c>
      <c r="V24" s="15">
        <f>V23*Assumptions!$B$47</f>
        <v/>
      </c>
      <c r="W24" s="15">
        <f>W23*Assumptions!$B$47</f>
        <v/>
      </c>
      <c r="X24" s="15">
        <f>X23*Assumptions!$B$47</f>
        <v/>
      </c>
      <c r="Y24" s="15">
        <f>Y23*Assumptions!$B$47</f>
        <v/>
      </c>
    </row>
    <row r="25">
      <c r="A25" s="17" t="inlineStr">
        <is>
          <t xml:space="preserve">  NET ADVERTISING REVENUE</t>
        </is>
      </c>
      <c r="B25" s="18">
        <f>B24</f>
        <v/>
      </c>
      <c r="C25" s="18">
        <f>C24</f>
        <v/>
      </c>
      <c r="D25" s="18">
        <f>D24</f>
        <v/>
      </c>
      <c r="E25" s="18">
        <f>E24</f>
        <v/>
      </c>
      <c r="F25" s="18">
        <f>F24</f>
        <v/>
      </c>
      <c r="G25" s="18">
        <f>G24</f>
        <v/>
      </c>
      <c r="H25" s="18">
        <f>H24</f>
        <v/>
      </c>
      <c r="I25" s="18">
        <f>I24</f>
        <v/>
      </c>
      <c r="J25" s="18">
        <f>J24</f>
        <v/>
      </c>
      <c r="K25" s="18">
        <f>K24</f>
        <v/>
      </c>
      <c r="L25" s="18">
        <f>L24</f>
        <v/>
      </c>
      <c r="M25" s="18">
        <f>M24</f>
        <v/>
      </c>
      <c r="N25" s="18">
        <f>N24</f>
        <v/>
      </c>
      <c r="O25" s="18">
        <f>O24</f>
        <v/>
      </c>
      <c r="P25" s="18">
        <f>P24</f>
        <v/>
      </c>
      <c r="Q25" s="18">
        <f>Q24</f>
        <v/>
      </c>
      <c r="R25" s="18">
        <f>R24</f>
        <v/>
      </c>
      <c r="S25" s="18">
        <f>S24</f>
        <v/>
      </c>
      <c r="T25" s="18">
        <f>T24</f>
        <v/>
      </c>
      <c r="U25" s="18">
        <f>U24</f>
        <v/>
      </c>
      <c r="V25" s="18">
        <f>V24</f>
        <v/>
      </c>
      <c r="W25" s="18">
        <f>W24</f>
        <v/>
      </c>
      <c r="X25" s="18">
        <f>X24</f>
        <v/>
      </c>
      <c r="Y25" s="18">
        <f>Y24</f>
        <v/>
      </c>
    </row>
    <row r="27">
      <c r="A27" s="17" t="inlineStr">
        <is>
          <t>GROSS REVENUE</t>
        </is>
      </c>
      <c r="B27" s="18">
        <f>B9+B15+B20+B25</f>
        <v/>
      </c>
      <c r="C27" s="18">
        <f>C9+C15+C20+C25</f>
        <v/>
      </c>
      <c r="D27" s="18">
        <f>D9+D15+D20+D25</f>
        <v/>
      </c>
      <c r="E27" s="18">
        <f>E9+E15+E20+E25</f>
        <v/>
      </c>
      <c r="F27" s="18">
        <f>F9+F15+F20+F25</f>
        <v/>
      </c>
      <c r="G27" s="18">
        <f>G9+G15+G20+G25</f>
        <v/>
      </c>
      <c r="H27" s="18">
        <f>H9+H15+H20+H25</f>
        <v/>
      </c>
      <c r="I27" s="18">
        <f>I9+I15+I20+I25</f>
        <v/>
      </c>
      <c r="J27" s="18">
        <f>J9+J15+J20+J25</f>
        <v/>
      </c>
      <c r="K27" s="18">
        <f>K9+K15+K20+K25</f>
        <v/>
      </c>
      <c r="L27" s="18">
        <f>L9+L15+L20+L25</f>
        <v/>
      </c>
      <c r="M27" s="18">
        <f>M9+M15+M20+M25</f>
        <v/>
      </c>
      <c r="N27" s="18">
        <f>N9+N15+N20+N25</f>
        <v/>
      </c>
      <c r="O27" s="18">
        <f>O9+O15+O20+O25</f>
        <v/>
      </c>
      <c r="P27" s="18">
        <f>P9+P15+P20+P25</f>
        <v/>
      </c>
      <c r="Q27" s="18">
        <f>Q9+Q15+Q20+Q25</f>
        <v/>
      </c>
      <c r="R27" s="18">
        <f>R9+R15+R20+R25</f>
        <v/>
      </c>
      <c r="S27" s="18">
        <f>S9+S15+S20+S25</f>
        <v/>
      </c>
      <c r="T27" s="18">
        <f>T9+T15+T20+T25</f>
        <v/>
      </c>
      <c r="U27" s="18">
        <f>U9+U15+U20+U25</f>
        <v/>
      </c>
      <c r="V27" s="18">
        <f>V9+V15+V20+V25</f>
        <v/>
      </c>
      <c r="W27" s="18">
        <f>W9+W15+W20+W25</f>
        <v/>
      </c>
      <c r="X27" s="18">
        <f>X9+X15+X20+X25</f>
        <v/>
      </c>
      <c r="Y27" s="18">
        <f>Y9+Y15+Y20+Y25</f>
        <v/>
      </c>
    </row>
    <row r="29">
      <c r="A29" s="2" t="inlineStr">
        <is>
          <t>PLATFORM FEES</t>
        </is>
      </c>
    </row>
    <row r="30">
      <c r="A30" s="3" t="inlineStr">
        <is>
          <t xml:space="preserve">  Apple App Store (15%)</t>
        </is>
      </c>
      <c r="B30" s="15">
        <f>B9*Assumptions!$B$69*Assumptions!$B$67*Assumptions!$B$63</f>
        <v/>
      </c>
      <c r="C30" s="15">
        <f>C9*Assumptions!$B$69*Assumptions!$B$67*Assumptions!$B$63</f>
        <v/>
      </c>
      <c r="D30" s="15">
        <f>D9*Assumptions!$B$69*Assumptions!$B$67*Assumptions!$B$63</f>
        <v/>
      </c>
      <c r="E30" s="15">
        <f>E9*Assumptions!$B$69*Assumptions!$B$67*Assumptions!$B$63</f>
        <v/>
      </c>
      <c r="F30" s="15">
        <f>F9*Assumptions!$B$69*Assumptions!$B$67*Assumptions!$B$63</f>
        <v/>
      </c>
      <c r="G30" s="15">
        <f>G9*Assumptions!$B$69*Assumptions!$B$67*Assumptions!$B$63</f>
        <v/>
      </c>
      <c r="H30" s="15">
        <f>H9*Assumptions!$B$69*Assumptions!$B$67*Assumptions!$B$63</f>
        <v/>
      </c>
      <c r="I30" s="15">
        <f>I9*Assumptions!$B$69*Assumptions!$B$67*Assumptions!$B$63</f>
        <v/>
      </c>
      <c r="J30" s="15">
        <f>J9*Assumptions!$B$69*Assumptions!$B$67*Assumptions!$B$63</f>
        <v/>
      </c>
      <c r="K30" s="15">
        <f>K9*Assumptions!$B$69*Assumptions!$B$67*Assumptions!$B$63</f>
        <v/>
      </c>
      <c r="L30" s="15">
        <f>L9*Assumptions!$B$69*Assumptions!$B$67*Assumptions!$B$63</f>
        <v/>
      </c>
      <c r="M30" s="15">
        <f>M9*Assumptions!$B$69*Assumptions!$B$67*Assumptions!$B$63</f>
        <v/>
      </c>
      <c r="N30" s="15">
        <f>N9*Assumptions!$B$69*Assumptions!$B$67*Assumptions!$B$63</f>
        <v/>
      </c>
      <c r="O30" s="15">
        <f>O9*Assumptions!$B$69*Assumptions!$B$67*Assumptions!$B$63</f>
        <v/>
      </c>
      <c r="P30" s="15">
        <f>P9*Assumptions!$B$69*Assumptions!$B$67*Assumptions!$B$63</f>
        <v/>
      </c>
      <c r="Q30" s="15">
        <f>Q9*Assumptions!$B$69*Assumptions!$B$67*Assumptions!$B$63</f>
        <v/>
      </c>
      <c r="R30" s="15">
        <f>R9*Assumptions!$B$69*Assumptions!$B$67*Assumptions!$B$63</f>
        <v/>
      </c>
      <c r="S30" s="15">
        <f>S9*Assumptions!$B$69*Assumptions!$B$67*Assumptions!$B$63</f>
        <v/>
      </c>
      <c r="T30" s="15">
        <f>T9*Assumptions!$B$69*Assumptions!$B$67*Assumptions!$B$63</f>
        <v/>
      </c>
      <c r="U30" s="15">
        <f>U9*Assumptions!$B$69*Assumptions!$B$67*Assumptions!$B$63</f>
        <v/>
      </c>
      <c r="V30" s="15">
        <f>V9*Assumptions!$B$69*Assumptions!$B$67*Assumptions!$B$63</f>
        <v/>
      </c>
      <c r="W30" s="15">
        <f>W9*Assumptions!$B$69*Assumptions!$B$67*Assumptions!$B$63</f>
        <v/>
      </c>
      <c r="X30" s="15">
        <f>X9*Assumptions!$B$69*Assumptions!$B$67*Assumptions!$B$63</f>
        <v/>
      </c>
      <c r="Y30" s="15">
        <f>Y9*Assumptions!$B$69*Assumptions!$B$67*Assumptions!$B$63</f>
        <v/>
      </c>
    </row>
    <row r="31">
      <c r="A31" s="3" t="inlineStr">
        <is>
          <t xml:space="preserve">  Google Play (15%)</t>
        </is>
      </c>
      <c r="B31" s="15">
        <f>B9*Assumptions!$B$69*Assumptions!$B$68*Assumptions!$B$64</f>
        <v/>
      </c>
      <c r="C31" s="15">
        <f>C9*Assumptions!$B$69*Assumptions!$B$68*Assumptions!$B$64</f>
        <v/>
      </c>
      <c r="D31" s="15">
        <f>D9*Assumptions!$B$69*Assumptions!$B$68*Assumptions!$B$64</f>
        <v/>
      </c>
      <c r="E31" s="15">
        <f>E9*Assumptions!$B$69*Assumptions!$B$68*Assumptions!$B$64</f>
        <v/>
      </c>
      <c r="F31" s="15">
        <f>F9*Assumptions!$B$69*Assumptions!$B$68*Assumptions!$B$64</f>
        <v/>
      </c>
      <c r="G31" s="15">
        <f>G9*Assumptions!$B$69*Assumptions!$B$68*Assumptions!$B$64</f>
        <v/>
      </c>
      <c r="H31" s="15">
        <f>H9*Assumptions!$B$69*Assumptions!$B$68*Assumptions!$B$64</f>
        <v/>
      </c>
      <c r="I31" s="15">
        <f>I9*Assumptions!$B$69*Assumptions!$B$68*Assumptions!$B$64</f>
        <v/>
      </c>
      <c r="J31" s="15">
        <f>J9*Assumptions!$B$69*Assumptions!$B$68*Assumptions!$B$64</f>
        <v/>
      </c>
      <c r="K31" s="15">
        <f>K9*Assumptions!$B$69*Assumptions!$B$68*Assumptions!$B$64</f>
        <v/>
      </c>
      <c r="L31" s="15">
        <f>L9*Assumptions!$B$69*Assumptions!$B$68*Assumptions!$B$64</f>
        <v/>
      </c>
      <c r="M31" s="15">
        <f>M9*Assumptions!$B$69*Assumptions!$B$68*Assumptions!$B$64</f>
        <v/>
      </c>
      <c r="N31" s="15">
        <f>N9*Assumptions!$B$69*Assumptions!$B$68*Assumptions!$B$64</f>
        <v/>
      </c>
      <c r="O31" s="15">
        <f>O9*Assumptions!$B$69*Assumptions!$B$68*Assumptions!$B$64</f>
        <v/>
      </c>
      <c r="P31" s="15">
        <f>P9*Assumptions!$B$69*Assumptions!$B$68*Assumptions!$B$64</f>
        <v/>
      </c>
      <c r="Q31" s="15">
        <f>Q9*Assumptions!$B$69*Assumptions!$B$68*Assumptions!$B$64</f>
        <v/>
      </c>
      <c r="R31" s="15">
        <f>R9*Assumptions!$B$69*Assumptions!$B$68*Assumptions!$B$64</f>
        <v/>
      </c>
      <c r="S31" s="15">
        <f>S9*Assumptions!$B$69*Assumptions!$B$68*Assumptions!$B$64</f>
        <v/>
      </c>
      <c r="T31" s="15">
        <f>T9*Assumptions!$B$69*Assumptions!$B$68*Assumptions!$B$64</f>
        <v/>
      </c>
      <c r="U31" s="15">
        <f>U9*Assumptions!$B$69*Assumptions!$B$68*Assumptions!$B$64</f>
        <v/>
      </c>
      <c r="V31" s="15">
        <f>V9*Assumptions!$B$69*Assumptions!$B$68*Assumptions!$B$64</f>
        <v/>
      </c>
      <c r="W31" s="15">
        <f>W9*Assumptions!$B$69*Assumptions!$B$68*Assumptions!$B$64</f>
        <v/>
      </c>
      <c r="X31" s="15">
        <f>X9*Assumptions!$B$69*Assumptions!$B$68*Assumptions!$B$64</f>
        <v/>
      </c>
      <c r="Y31" s="15">
        <f>Y9*Assumptions!$B$69*Assumptions!$B$68*Assumptions!$B$64</f>
        <v/>
      </c>
    </row>
    <row r="32">
      <c r="A32" s="3" t="inlineStr">
        <is>
          <t xml:space="preserve">  Stripe Processing</t>
        </is>
      </c>
      <c r="B32" s="15">
        <f>IF((B9*(1-Assumptions!$B$69)+B15+B20)&gt;0,(B9*(1-Assumptions!$B$69)+B15+B20)*Assumptions!$B$65+MAX(1,('User Growth'!B18+'User Growth'!B19)*0.3+'User Growth'!B17*Assumptions!$B$34+('User Growth'!B18+'User Growth'!B19)*Assumptions!$B$35)*Assumptions!$B$66,0)</f>
        <v/>
      </c>
      <c r="C32" s="15">
        <f>IF((C9*(1-Assumptions!$B$69)+C15+C20)&gt;0,(C9*(1-Assumptions!$B$69)+C15+C20)*Assumptions!$B$65+MAX(1,('User Growth'!C18+'User Growth'!C19)*0.3+'User Growth'!C17*Assumptions!$B$34+('User Growth'!C18+'User Growth'!C19)*Assumptions!$B$35)*Assumptions!$B$66,0)</f>
        <v/>
      </c>
      <c r="D32" s="15">
        <f>IF((D9*(1-Assumptions!$B$69)+D15+D20)&gt;0,(D9*(1-Assumptions!$B$69)+D15+D20)*Assumptions!$B$65+MAX(1,('User Growth'!D18+'User Growth'!D19)*0.3+'User Growth'!D17*Assumptions!$B$34+('User Growth'!D18+'User Growth'!D19)*Assumptions!$B$35)*Assumptions!$B$66,0)</f>
        <v/>
      </c>
      <c r="E32" s="15">
        <f>IF((E9*(1-Assumptions!$B$69)+E15+E20)&gt;0,(E9*(1-Assumptions!$B$69)+E15+E20)*Assumptions!$B$65+MAX(1,('User Growth'!E18+'User Growth'!E19)*0.3+'User Growth'!E17*Assumptions!$B$34+('User Growth'!E18+'User Growth'!E19)*Assumptions!$B$35)*Assumptions!$B$66,0)</f>
        <v/>
      </c>
      <c r="F32" s="15">
        <f>IF((F9*(1-Assumptions!$B$69)+F15+F20)&gt;0,(F9*(1-Assumptions!$B$69)+F15+F20)*Assumptions!$B$65+MAX(1,('User Growth'!F18+'User Growth'!F19)*0.3+'User Growth'!F17*Assumptions!$B$34+('User Growth'!F18+'User Growth'!F19)*Assumptions!$B$35)*Assumptions!$B$66,0)</f>
        <v/>
      </c>
      <c r="G32" s="15">
        <f>IF((G9*(1-Assumptions!$B$69)+G15+G20)&gt;0,(G9*(1-Assumptions!$B$69)+G15+G20)*Assumptions!$B$65+MAX(1,('User Growth'!G18+'User Growth'!G19)*0.3+'User Growth'!G17*Assumptions!$B$34+('User Growth'!G18+'User Growth'!G19)*Assumptions!$B$35)*Assumptions!$B$66,0)</f>
        <v/>
      </c>
      <c r="H32" s="15">
        <f>IF((H9*(1-Assumptions!$B$69)+H15+H20)&gt;0,(H9*(1-Assumptions!$B$69)+H15+H20)*Assumptions!$B$65+MAX(1,('User Growth'!H18+'User Growth'!H19)*0.3+'User Growth'!H17*Assumptions!$B$34+('User Growth'!H18+'User Growth'!H19)*Assumptions!$B$35)*Assumptions!$B$66,0)</f>
        <v/>
      </c>
      <c r="I32" s="15">
        <f>IF((I9*(1-Assumptions!$B$69)+I15+I20)&gt;0,(I9*(1-Assumptions!$B$69)+I15+I20)*Assumptions!$B$65+MAX(1,('User Growth'!I18+'User Growth'!I19)*0.3+'User Growth'!I17*Assumptions!$B$34+('User Growth'!I18+'User Growth'!I19)*Assumptions!$B$35)*Assumptions!$B$66,0)</f>
        <v/>
      </c>
      <c r="J32" s="15">
        <f>IF((J9*(1-Assumptions!$B$69)+J15+J20)&gt;0,(J9*(1-Assumptions!$B$69)+J15+J20)*Assumptions!$B$65+MAX(1,('User Growth'!J18+'User Growth'!J19)*0.3+'User Growth'!J17*Assumptions!$B$34+('User Growth'!J18+'User Growth'!J19)*Assumptions!$B$35)*Assumptions!$B$66,0)</f>
        <v/>
      </c>
      <c r="K32" s="15">
        <f>IF((K9*(1-Assumptions!$B$69)+K15+K20)&gt;0,(K9*(1-Assumptions!$B$69)+K15+K20)*Assumptions!$B$65+MAX(1,('User Growth'!K18+'User Growth'!K19)*0.3+'User Growth'!K17*Assumptions!$B$34+('User Growth'!K18+'User Growth'!K19)*Assumptions!$B$35)*Assumptions!$B$66,0)</f>
        <v/>
      </c>
      <c r="L32" s="15">
        <f>IF((L9*(1-Assumptions!$B$69)+L15+L20)&gt;0,(L9*(1-Assumptions!$B$69)+L15+L20)*Assumptions!$B$65+MAX(1,('User Growth'!L18+'User Growth'!L19)*0.3+'User Growth'!L17*Assumptions!$B$34+('User Growth'!L18+'User Growth'!L19)*Assumptions!$B$35)*Assumptions!$B$66,0)</f>
        <v/>
      </c>
      <c r="M32" s="15">
        <f>IF((M9*(1-Assumptions!$B$69)+M15+M20)&gt;0,(M9*(1-Assumptions!$B$69)+M15+M20)*Assumptions!$B$65+MAX(1,('User Growth'!M18+'User Growth'!M19)*0.3+'User Growth'!M17*Assumptions!$B$34+('User Growth'!M18+'User Growth'!M19)*Assumptions!$B$35)*Assumptions!$B$66,0)</f>
        <v/>
      </c>
      <c r="N32" s="15">
        <f>IF((N9*(1-Assumptions!$B$69)+N15+N20)&gt;0,(N9*(1-Assumptions!$B$69)+N15+N20)*Assumptions!$B$65+MAX(1,('User Growth'!N18+'User Growth'!N19)*0.3+'User Growth'!N17*Assumptions!$B$34+('User Growth'!N18+'User Growth'!N19)*Assumptions!$B$35)*Assumptions!$B$66,0)</f>
        <v/>
      </c>
      <c r="O32" s="15">
        <f>IF((O9*(1-Assumptions!$B$69)+O15+O20)&gt;0,(O9*(1-Assumptions!$B$69)+O15+O20)*Assumptions!$B$65+MAX(1,('User Growth'!O18+'User Growth'!O19)*0.3+'User Growth'!O17*Assumptions!$B$34+('User Growth'!O18+'User Growth'!O19)*Assumptions!$B$35)*Assumptions!$B$66,0)</f>
        <v/>
      </c>
      <c r="P32" s="15">
        <f>IF((P9*(1-Assumptions!$B$69)+P15+P20)&gt;0,(P9*(1-Assumptions!$B$69)+P15+P20)*Assumptions!$B$65+MAX(1,('User Growth'!P18+'User Growth'!P19)*0.3+'User Growth'!P17*Assumptions!$B$34+('User Growth'!P18+'User Growth'!P19)*Assumptions!$B$35)*Assumptions!$B$66,0)</f>
        <v/>
      </c>
      <c r="Q32" s="15">
        <f>IF((Q9*(1-Assumptions!$B$69)+Q15+Q20)&gt;0,(Q9*(1-Assumptions!$B$69)+Q15+Q20)*Assumptions!$B$65+MAX(1,('User Growth'!Q18+'User Growth'!Q19)*0.3+'User Growth'!Q17*Assumptions!$B$34+('User Growth'!Q18+'User Growth'!Q19)*Assumptions!$B$35)*Assumptions!$B$66,0)</f>
        <v/>
      </c>
      <c r="R32" s="15">
        <f>IF((R9*(1-Assumptions!$B$69)+R15+R20)&gt;0,(R9*(1-Assumptions!$B$69)+R15+R20)*Assumptions!$B$65+MAX(1,('User Growth'!R18+'User Growth'!R19)*0.3+'User Growth'!R17*Assumptions!$B$34+('User Growth'!R18+'User Growth'!R19)*Assumptions!$B$35)*Assumptions!$B$66,0)</f>
        <v/>
      </c>
      <c r="S32" s="15">
        <f>IF((S9*(1-Assumptions!$B$69)+S15+S20)&gt;0,(S9*(1-Assumptions!$B$69)+S15+S20)*Assumptions!$B$65+MAX(1,('User Growth'!S18+'User Growth'!S19)*0.3+'User Growth'!S17*Assumptions!$B$34+('User Growth'!S18+'User Growth'!S19)*Assumptions!$B$35)*Assumptions!$B$66,0)</f>
        <v/>
      </c>
      <c r="T32" s="15">
        <f>IF((T9*(1-Assumptions!$B$69)+T15+T20)&gt;0,(T9*(1-Assumptions!$B$69)+T15+T20)*Assumptions!$B$65+MAX(1,('User Growth'!T18+'User Growth'!T19)*0.3+'User Growth'!T17*Assumptions!$B$34+('User Growth'!T18+'User Growth'!T19)*Assumptions!$B$35)*Assumptions!$B$66,0)</f>
        <v/>
      </c>
      <c r="U32" s="15">
        <f>IF((U9*(1-Assumptions!$B$69)+U15+U20)&gt;0,(U9*(1-Assumptions!$B$69)+U15+U20)*Assumptions!$B$65+MAX(1,('User Growth'!U18+'User Growth'!U19)*0.3+'User Growth'!U17*Assumptions!$B$34+('User Growth'!U18+'User Growth'!U19)*Assumptions!$B$35)*Assumptions!$B$66,0)</f>
        <v/>
      </c>
      <c r="V32" s="15">
        <f>IF((V9*(1-Assumptions!$B$69)+V15+V20)&gt;0,(V9*(1-Assumptions!$B$69)+V15+V20)*Assumptions!$B$65+MAX(1,('User Growth'!V18+'User Growth'!V19)*0.3+'User Growth'!V17*Assumptions!$B$34+('User Growth'!V18+'User Growth'!V19)*Assumptions!$B$35)*Assumptions!$B$66,0)</f>
        <v/>
      </c>
      <c r="W32" s="15">
        <f>IF((W9*(1-Assumptions!$B$69)+W15+W20)&gt;0,(W9*(1-Assumptions!$B$69)+W15+W20)*Assumptions!$B$65+MAX(1,('User Growth'!W18+'User Growth'!W19)*0.3+'User Growth'!W17*Assumptions!$B$34+('User Growth'!W18+'User Growth'!W19)*Assumptions!$B$35)*Assumptions!$B$66,0)</f>
        <v/>
      </c>
      <c r="X32" s="15">
        <f>IF((X9*(1-Assumptions!$B$69)+X15+X20)&gt;0,(X9*(1-Assumptions!$B$69)+X15+X20)*Assumptions!$B$65+MAX(1,('User Growth'!X18+'User Growth'!X19)*0.3+'User Growth'!X17*Assumptions!$B$34+('User Growth'!X18+'User Growth'!X19)*Assumptions!$B$35)*Assumptions!$B$66,0)</f>
        <v/>
      </c>
      <c r="Y32" s="15">
        <f>IF((Y9*(1-Assumptions!$B$69)+Y15+Y20)&gt;0,(Y9*(1-Assumptions!$B$69)+Y15+Y20)*Assumptions!$B$65+MAX(1,('User Growth'!Y18+'User Growth'!Y19)*0.3+'User Growth'!Y17*Assumptions!$B$34+('User Growth'!Y18+'User Growth'!Y19)*Assumptions!$B$35)*Assumptions!$B$66,0)</f>
        <v/>
      </c>
    </row>
    <row r="33">
      <c r="A33" s="3" t="inlineStr">
        <is>
          <t xml:space="preserve">  Total Platform Fees</t>
        </is>
      </c>
      <c r="B33" s="15">
        <f>B30+B31+B32</f>
        <v/>
      </c>
      <c r="C33" s="15">
        <f>C30+C31+C32</f>
        <v/>
      </c>
      <c r="D33" s="15">
        <f>D30+D31+D32</f>
        <v/>
      </c>
      <c r="E33" s="15">
        <f>E30+E31+E32</f>
        <v/>
      </c>
      <c r="F33" s="15">
        <f>F30+F31+F32</f>
        <v/>
      </c>
      <c r="G33" s="15">
        <f>G30+G31+G32</f>
        <v/>
      </c>
      <c r="H33" s="15">
        <f>H30+H31+H32</f>
        <v/>
      </c>
      <c r="I33" s="15">
        <f>I30+I31+I32</f>
        <v/>
      </c>
      <c r="J33" s="15">
        <f>J30+J31+J32</f>
        <v/>
      </c>
      <c r="K33" s="15">
        <f>K30+K31+K32</f>
        <v/>
      </c>
      <c r="L33" s="15">
        <f>L30+L31+L32</f>
        <v/>
      </c>
      <c r="M33" s="15">
        <f>M30+M31+M32</f>
        <v/>
      </c>
      <c r="N33" s="15">
        <f>N30+N31+N32</f>
        <v/>
      </c>
      <c r="O33" s="15">
        <f>O30+O31+O32</f>
        <v/>
      </c>
      <c r="P33" s="15">
        <f>P30+P31+P32</f>
        <v/>
      </c>
      <c r="Q33" s="15">
        <f>Q30+Q31+Q32</f>
        <v/>
      </c>
      <c r="R33" s="15">
        <f>R30+R31+R32</f>
        <v/>
      </c>
      <c r="S33" s="15">
        <f>S30+S31+S32</f>
        <v/>
      </c>
      <c r="T33" s="15">
        <f>T30+T31+T32</f>
        <v/>
      </c>
      <c r="U33" s="15">
        <f>U30+U31+U32</f>
        <v/>
      </c>
      <c r="V33" s="15">
        <f>V30+V31+V32</f>
        <v/>
      </c>
      <c r="W33" s="15">
        <f>W30+W31+W32</f>
        <v/>
      </c>
      <c r="X33" s="15">
        <f>X30+X31+X32</f>
        <v/>
      </c>
      <c r="Y33" s="15">
        <f>Y30+Y31+Y32</f>
        <v/>
      </c>
    </row>
    <row r="35">
      <c r="A35" s="17" t="inlineStr">
        <is>
          <t>NET REVENUE</t>
        </is>
      </c>
      <c r="B35" s="18">
        <f>B27-B33</f>
        <v/>
      </c>
      <c r="C35" s="18">
        <f>C27-C33</f>
        <v/>
      </c>
      <c r="D35" s="18">
        <f>D27-D33</f>
        <v/>
      </c>
      <c r="E35" s="18">
        <f>E27-E33</f>
        <v/>
      </c>
      <c r="F35" s="18">
        <f>F27-F33</f>
        <v/>
      </c>
      <c r="G35" s="18">
        <f>G27-G33</f>
        <v/>
      </c>
      <c r="H35" s="18">
        <f>H27-H33</f>
        <v/>
      </c>
      <c r="I35" s="18">
        <f>I27-I33</f>
        <v/>
      </c>
      <c r="J35" s="18">
        <f>J27-J33</f>
        <v/>
      </c>
      <c r="K35" s="18">
        <f>K27-K33</f>
        <v/>
      </c>
      <c r="L35" s="18">
        <f>L27-L33</f>
        <v/>
      </c>
      <c r="M35" s="18">
        <f>M27-M33</f>
        <v/>
      </c>
      <c r="N35" s="18">
        <f>N27-N33</f>
        <v/>
      </c>
      <c r="O35" s="18">
        <f>O27-O33</f>
        <v/>
      </c>
      <c r="P35" s="18">
        <f>P27-P33</f>
        <v/>
      </c>
      <c r="Q35" s="18">
        <f>Q27-Q33</f>
        <v/>
      </c>
      <c r="R35" s="18">
        <f>R27-R33</f>
        <v/>
      </c>
      <c r="S35" s="18">
        <f>S27-S33</f>
        <v/>
      </c>
      <c r="T35" s="18">
        <f>T27-T33</f>
        <v/>
      </c>
      <c r="U35" s="18">
        <f>U27-U33</f>
        <v/>
      </c>
      <c r="V35" s="18">
        <f>V27-V33</f>
        <v/>
      </c>
      <c r="W35" s="18">
        <f>W27-W33</f>
        <v/>
      </c>
      <c r="X35" s="18">
        <f>X27-X33</f>
        <v/>
      </c>
      <c r="Y35" s="18">
        <f>Y27-Y33</f>
        <v/>
      </c>
    </row>
    <row r="37">
      <c r="A37" s="2" t="inlineStr">
        <is>
          <t>REVENUE MIX (% of Gross)</t>
        </is>
      </c>
    </row>
    <row r="38">
      <c r="A38" s="3" t="inlineStr">
        <is>
          <t xml:space="preserve">  Subscription %</t>
        </is>
      </c>
      <c r="B38" s="16">
        <f>IF(B27&gt;0,B9/B27,0)</f>
        <v/>
      </c>
      <c r="C38" s="16">
        <f>IF(C27&gt;0,C9/C27,0)</f>
        <v/>
      </c>
      <c r="D38" s="16">
        <f>IF(D27&gt;0,D9/D27,0)</f>
        <v/>
      </c>
      <c r="E38" s="16">
        <f>IF(E27&gt;0,E9/E27,0)</f>
        <v/>
      </c>
      <c r="F38" s="16">
        <f>IF(F27&gt;0,F9/F27,0)</f>
        <v/>
      </c>
      <c r="G38" s="16">
        <f>IF(G27&gt;0,G9/G27,0)</f>
        <v/>
      </c>
      <c r="H38" s="16">
        <f>IF(H27&gt;0,H9/H27,0)</f>
        <v/>
      </c>
      <c r="I38" s="16">
        <f>IF(I27&gt;0,I9/I27,0)</f>
        <v/>
      </c>
      <c r="J38" s="16">
        <f>IF(J27&gt;0,J9/J27,0)</f>
        <v/>
      </c>
      <c r="K38" s="16">
        <f>IF(K27&gt;0,K9/K27,0)</f>
        <v/>
      </c>
      <c r="L38" s="16">
        <f>IF(L27&gt;0,L9/L27,0)</f>
        <v/>
      </c>
      <c r="M38" s="16">
        <f>IF(M27&gt;0,M9/M27,0)</f>
        <v/>
      </c>
      <c r="N38" s="16">
        <f>IF(N27&gt;0,N9/N27,0)</f>
        <v/>
      </c>
      <c r="O38" s="16">
        <f>IF(O27&gt;0,O9/O27,0)</f>
        <v/>
      </c>
      <c r="P38" s="16">
        <f>IF(P27&gt;0,P9/P27,0)</f>
        <v/>
      </c>
      <c r="Q38" s="16">
        <f>IF(Q27&gt;0,Q9/Q27,0)</f>
        <v/>
      </c>
      <c r="R38" s="16">
        <f>IF(R27&gt;0,R9/R27,0)</f>
        <v/>
      </c>
      <c r="S38" s="16">
        <f>IF(S27&gt;0,S9/S27,0)</f>
        <v/>
      </c>
      <c r="T38" s="16">
        <f>IF(T27&gt;0,T9/T27,0)</f>
        <v/>
      </c>
      <c r="U38" s="16">
        <f>IF(U27&gt;0,U9/U27,0)</f>
        <v/>
      </c>
      <c r="V38" s="16">
        <f>IF(V27&gt;0,V9/V27,0)</f>
        <v/>
      </c>
      <c r="W38" s="16">
        <f>IF(W27&gt;0,W9/W27,0)</f>
        <v/>
      </c>
      <c r="X38" s="16">
        <f>IF(X27&gt;0,X9/X27,0)</f>
        <v/>
      </c>
      <c r="Y38" s="16">
        <f>IF(Y27&gt;0,Y9/Y27,0)</f>
        <v/>
      </c>
    </row>
    <row r="39">
      <c r="A39" s="3" t="inlineStr">
        <is>
          <t xml:space="preserve">  Pay-Per-Use %</t>
        </is>
      </c>
      <c r="B39" s="16">
        <f>IF(B27&gt;0,B15/B27,0)</f>
        <v/>
      </c>
      <c r="C39" s="16">
        <f>IF(C27&gt;0,C15/C27,0)</f>
        <v/>
      </c>
      <c r="D39" s="16">
        <f>IF(D27&gt;0,D15/D27,0)</f>
        <v/>
      </c>
      <c r="E39" s="16">
        <f>IF(E27&gt;0,E15/E27,0)</f>
        <v/>
      </c>
      <c r="F39" s="16">
        <f>IF(F27&gt;0,F15/F27,0)</f>
        <v/>
      </c>
      <c r="G39" s="16">
        <f>IF(G27&gt;0,G15/G27,0)</f>
        <v/>
      </c>
      <c r="H39" s="16">
        <f>IF(H27&gt;0,H15/H27,0)</f>
        <v/>
      </c>
      <c r="I39" s="16">
        <f>IF(I27&gt;0,I15/I27,0)</f>
        <v/>
      </c>
      <c r="J39" s="16">
        <f>IF(J27&gt;0,J15/J27,0)</f>
        <v/>
      </c>
      <c r="K39" s="16">
        <f>IF(K27&gt;0,K15/K27,0)</f>
        <v/>
      </c>
      <c r="L39" s="16">
        <f>IF(L27&gt;0,L15/L27,0)</f>
        <v/>
      </c>
      <c r="M39" s="16">
        <f>IF(M27&gt;0,M15/M27,0)</f>
        <v/>
      </c>
      <c r="N39" s="16">
        <f>IF(N27&gt;0,N15/N27,0)</f>
        <v/>
      </c>
      <c r="O39" s="16">
        <f>IF(O27&gt;0,O15/O27,0)</f>
        <v/>
      </c>
      <c r="P39" s="16">
        <f>IF(P27&gt;0,P15/P27,0)</f>
        <v/>
      </c>
      <c r="Q39" s="16">
        <f>IF(Q27&gt;0,Q15/Q27,0)</f>
        <v/>
      </c>
      <c r="R39" s="16">
        <f>IF(R27&gt;0,R15/R27,0)</f>
        <v/>
      </c>
      <c r="S39" s="16">
        <f>IF(S27&gt;0,S15/S27,0)</f>
        <v/>
      </c>
      <c r="T39" s="16">
        <f>IF(T27&gt;0,T15/T27,0)</f>
        <v/>
      </c>
      <c r="U39" s="16">
        <f>IF(U27&gt;0,U15/U27,0)</f>
        <v/>
      </c>
      <c r="V39" s="16">
        <f>IF(V27&gt;0,V15/V27,0)</f>
        <v/>
      </c>
      <c r="W39" s="16">
        <f>IF(W27&gt;0,W15/W27,0)</f>
        <v/>
      </c>
      <c r="X39" s="16">
        <f>IF(X27&gt;0,X15/X27,0)</f>
        <v/>
      </c>
      <c r="Y39" s="16">
        <f>IF(Y27&gt;0,Y15/Y27,0)</f>
        <v/>
      </c>
    </row>
    <row r="40">
      <c r="A40" s="3" t="inlineStr">
        <is>
          <t xml:space="preserve">  DFS %</t>
        </is>
      </c>
      <c r="B40" s="16">
        <f>IF(B27&gt;0,B20/B27,0)</f>
        <v/>
      </c>
      <c r="C40" s="16">
        <f>IF(C27&gt;0,C20/C27,0)</f>
        <v/>
      </c>
      <c r="D40" s="16">
        <f>IF(D27&gt;0,D20/D27,0)</f>
        <v/>
      </c>
      <c r="E40" s="16">
        <f>IF(E27&gt;0,E20/E27,0)</f>
        <v/>
      </c>
      <c r="F40" s="16">
        <f>IF(F27&gt;0,F20/F27,0)</f>
        <v/>
      </c>
      <c r="G40" s="16">
        <f>IF(G27&gt;0,G20/G27,0)</f>
        <v/>
      </c>
      <c r="H40" s="16">
        <f>IF(H27&gt;0,H20/H27,0)</f>
        <v/>
      </c>
      <c r="I40" s="16">
        <f>IF(I27&gt;0,I20/I27,0)</f>
        <v/>
      </c>
      <c r="J40" s="16">
        <f>IF(J27&gt;0,J20/J27,0)</f>
        <v/>
      </c>
      <c r="K40" s="16">
        <f>IF(K27&gt;0,K20/K27,0)</f>
        <v/>
      </c>
      <c r="L40" s="16">
        <f>IF(L27&gt;0,L20/L27,0)</f>
        <v/>
      </c>
      <c r="M40" s="16">
        <f>IF(M27&gt;0,M20/M27,0)</f>
        <v/>
      </c>
      <c r="N40" s="16">
        <f>IF(N27&gt;0,N20/N27,0)</f>
        <v/>
      </c>
      <c r="O40" s="16">
        <f>IF(O27&gt;0,O20/O27,0)</f>
        <v/>
      </c>
      <c r="P40" s="16">
        <f>IF(P27&gt;0,P20/P27,0)</f>
        <v/>
      </c>
      <c r="Q40" s="16">
        <f>IF(Q27&gt;0,Q20/Q27,0)</f>
        <v/>
      </c>
      <c r="R40" s="16">
        <f>IF(R27&gt;0,R20/R27,0)</f>
        <v/>
      </c>
      <c r="S40" s="16">
        <f>IF(S27&gt;0,S20/S27,0)</f>
        <v/>
      </c>
      <c r="T40" s="16">
        <f>IF(T27&gt;0,T20/T27,0)</f>
        <v/>
      </c>
      <c r="U40" s="16">
        <f>IF(U27&gt;0,U20/U27,0)</f>
        <v/>
      </c>
      <c r="V40" s="16">
        <f>IF(V27&gt;0,V20/V27,0)</f>
        <v/>
      </c>
      <c r="W40" s="16">
        <f>IF(W27&gt;0,W20/W27,0)</f>
        <v/>
      </c>
      <c r="X40" s="16">
        <f>IF(X27&gt;0,X20/X27,0)</f>
        <v/>
      </c>
      <c r="Y40" s="16">
        <f>IF(Y27&gt;0,Y20/Y27,0)</f>
        <v/>
      </c>
    </row>
    <row r="41">
      <c r="A41" s="3" t="inlineStr">
        <is>
          <t xml:space="preserve">  Advertising %</t>
        </is>
      </c>
      <c r="B41" s="16">
        <f>IF(B27&gt;0,B25/B27,0)</f>
        <v/>
      </c>
      <c r="C41" s="16">
        <f>IF(C27&gt;0,C25/C27,0)</f>
        <v/>
      </c>
      <c r="D41" s="16">
        <f>IF(D27&gt;0,D25/D27,0)</f>
        <v/>
      </c>
      <c r="E41" s="16">
        <f>IF(E27&gt;0,E25/E27,0)</f>
        <v/>
      </c>
      <c r="F41" s="16">
        <f>IF(F27&gt;0,F25/F27,0)</f>
        <v/>
      </c>
      <c r="G41" s="16">
        <f>IF(G27&gt;0,G25/G27,0)</f>
        <v/>
      </c>
      <c r="H41" s="16">
        <f>IF(H27&gt;0,H25/H27,0)</f>
        <v/>
      </c>
      <c r="I41" s="16">
        <f>IF(I27&gt;0,I25/I27,0)</f>
        <v/>
      </c>
      <c r="J41" s="16">
        <f>IF(J27&gt;0,J25/J27,0)</f>
        <v/>
      </c>
      <c r="K41" s="16">
        <f>IF(K27&gt;0,K25/K27,0)</f>
        <v/>
      </c>
      <c r="L41" s="16">
        <f>IF(L27&gt;0,L25/L27,0)</f>
        <v/>
      </c>
      <c r="M41" s="16">
        <f>IF(M27&gt;0,M25/M27,0)</f>
        <v/>
      </c>
      <c r="N41" s="16">
        <f>IF(N27&gt;0,N25/N27,0)</f>
        <v/>
      </c>
      <c r="O41" s="16">
        <f>IF(O27&gt;0,O25/O27,0)</f>
        <v/>
      </c>
      <c r="P41" s="16">
        <f>IF(P27&gt;0,P25/P27,0)</f>
        <v/>
      </c>
      <c r="Q41" s="16">
        <f>IF(Q27&gt;0,Q25/Q27,0)</f>
        <v/>
      </c>
      <c r="R41" s="16">
        <f>IF(R27&gt;0,R25/R27,0)</f>
        <v/>
      </c>
      <c r="S41" s="16">
        <f>IF(S27&gt;0,S25/S27,0)</f>
        <v/>
      </c>
      <c r="T41" s="16">
        <f>IF(T27&gt;0,T25/T27,0)</f>
        <v/>
      </c>
      <c r="U41" s="16">
        <f>IF(U27&gt;0,U25/U27,0)</f>
        <v/>
      </c>
      <c r="V41" s="16">
        <f>IF(V27&gt;0,V25/V27,0)</f>
        <v/>
      </c>
      <c r="W41" s="16">
        <f>IF(W27&gt;0,W25/W27,0)</f>
        <v/>
      </c>
      <c r="X41" s="16">
        <f>IF(X27&gt;0,X25/X27,0)</f>
        <v/>
      </c>
      <c r="Y41" s="16">
        <f>IF(Y27&gt;0,Y25/Y27,0)</f>
        <v/>
      </c>
    </row>
    <row r="43">
      <c r="A43" s="17" t="inlineStr">
        <is>
          <t>MRR (Subscription Only)</t>
        </is>
      </c>
      <c r="B43" s="18">
        <f>B9</f>
        <v/>
      </c>
      <c r="C43" s="18">
        <f>C9</f>
        <v/>
      </c>
      <c r="D43" s="18">
        <f>D9</f>
        <v/>
      </c>
      <c r="E43" s="18">
        <f>E9</f>
        <v/>
      </c>
      <c r="F43" s="18">
        <f>F9</f>
        <v/>
      </c>
      <c r="G43" s="18">
        <f>G9</f>
        <v/>
      </c>
      <c r="H43" s="18">
        <f>H9</f>
        <v/>
      </c>
      <c r="I43" s="18">
        <f>I9</f>
        <v/>
      </c>
      <c r="J43" s="18">
        <f>J9</f>
        <v/>
      </c>
      <c r="K43" s="18">
        <f>K9</f>
        <v/>
      </c>
      <c r="L43" s="18">
        <f>L9</f>
        <v/>
      </c>
      <c r="M43" s="18">
        <f>M9</f>
        <v/>
      </c>
      <c r="N43" s="18">
        <f>N9</f>
        <v/>
      </c>
      <c r="O43" s="18">
        <f>O9</f>
        <v/>
      </c>
      <c r="P43" s="18">
        <f>P9</f>
        <v/>
      </c>
      <c r="Q43" s="18">
        <f>Q9</f>
        <v/>
      </c>
      <c r="R43" s="18">
        <f>R9</f>
        <v/>
      </c>
      <c r="S43" s="18">
        <f>S9</f>
        <v/>
      </c>
      <c r="T43" s="18">
        <f>T9</f>
        <v/>
      </c>
      <c r="U43" s="18">
        <f>U9</f>
        <v/>
      </c>
      <c r="V43" s="18">
        <f>V9</f>
        <v/>
      </c>
      <c r="W43" s="18">
        <f>W9</f>
        <v/>
      </c>
      <c r="X43" s="18">
        <f>X9</f>
        <v/>
      </c>
      <c r="Y43" s="18">
        <f>Y9</f>
        <v/>
      </c>
    </row>
    <row r="44">
      <c r="A44" s="17" t="inlineStr">
        <is>
          <t>ARR (= MRR x 12)</t>
        </is>
      </c>
      <c r="B44" s="18">
        <f>B9*12</f>
        <v/>
      </c>
      <c r="C44" s="18">
        <f>C9*12</f>
        <v/>
      </c>
      <c r="D44" s="18">
        <f>D9*12</f>
        <v/>
      </c>
      <c r="E44" s="18">
        <f>E9*12</f>
        <v/>
      </c>
      <c r="F44" s="18">
        <f>F9*12</f>
        <v/>
      </c>
      <c r="G44" s="18">
        <f>G9*12</f>
        <v/>
      </c>
      <c r="H44" s="18">
        <f>H9*12</f>
        <v/>
      </c>
      <c r="I44" s="18">
        <f>I9*12</f>
        <v/>
      </c>
      <c r="J44" s="18">
        <f>J9*12</f>
        <v/>
      </c>
      <c r="K44" s="18">
        <f>K9*12</f>
        <v/>
      </c>
      <c r="L44" s="18">
        <f>L9*12</f>
        <v/>
      </c>
      <c r="M44" s="18">
        <f>M9*12</f>
        <v/>
      </c>
      <c r="N44" s="18">
        <f>N9*12</f>
        <v/>
      </c>
      <c r="O44" s="18">
        <f>O9*12</f>
        <v/>
      </c>
      <c r="P44" s="18">
        <f>P9*12</f>
        <v/>
      </c>
      <c r="Q44" s="18">
        <f>Q9*12</f>
        <v/>
      </c>
      <c r="R44" s="18">
        <f>R9*12</f>
        <v/>
      </c>
      <c r="S44" s="18">
        <f>S9*12</f>
        <v/>
      </c>
      <c r="T44" s="18">
        <f>T9*12</f>
        <v/>
      </c>
      <c r="U44" s="18">
        <f>U9*12</f>
        <v/>
      </c>
      <c r="V44" s="18">
        <f>V9*12</f>
        <v/>
      </c>
      <c r="W44" s="18">
        <f>W9*12</f>
        <v/>
      </c>
      <c r="X44" s="18">
        <f>X9*12</f>
        <v/>
      </c>
      <c r="Y44" s="18">
        <f>Y9*12</f>
        <v/>
      </c>
    </row>
    <row r="45">
      <c r="A45" s="17" t="inlineStr">
        <is>
          <t>Cumulative Net Revenue</t>
        </is>
      </c>
      <c r="B45" s="18">
        <f>B35</f>
        <v/>
      </c>
      <c r="C45" s="18">
        <f>B45+C35</f>
        <v/>
      </c>
      <c r="D45" s="18">
        <f>C45+D35</f>
        <v/>
      </c>
      <c r="E45" s="18">
        <f>D45+E35</f>
        <v/>
      </c>
      <c r="F45" s="18">
        <f>E45+F35</f>
        <v/>
      </c>
      <c r="G45" s="18">
        <f>F45+G35</f>
        <v/>
      </c>
      <c r="H45" s="18">
        <f>G45+H35</f>
        <v/>
      </c>
      <c r="I45" s="18">
        <f>H45+I35</f>
        <v/>
      </c>
      <c r="J45" s="18">
        <f>I45+J35</f>
        <v/>
      </c>
      <c r="K45" s="18">
        <f>J45+K35</f>
        <v/>
      </c>
      <c r="L45" s="18">
        <f>K45+L35</f>
        <v/>
      </c>
      <c r="M45" s="18">
        <f>L45+M35</f>
        <v/>
      </c>
      <c r="N45" s="18">
        <f>M45+N35</f>
        <v/>
      </c>
      <c r="O45" s="18">
        <f>N45+O35</f>
        <v/>
      </c>
      <c r="P45" s="18">
        <f>O45+P35</f>
        <v/>
      </c>
      <c r="Q45" s="18">
        <f>P45+Q35</f>
        <v/>
      </c>
      <c r="R45" s="18">
        <f>Q45+R35</f>
        <v/>
      </c>
      <c r="S45" s="18">
        <f>R45+S35</f>
        <v/>
      </c>
      <c r="T45" s="18">
        <f>S45+T35</f>
        <v/>
      </c>
      <c r="U45" s="18">
        <f>T45+U35</f>
        <v/>
      </c>
      <c r="V45" s="18">
        <f>U45+V35</f>
        <v/>
      </c>
      <c r="W45" s="18">
        <f>V45+W35</f>
        <v/>
      </c>
      <c r="X45" s="18">
        <f>W45+X35</f>
        <v/>
      </c>
      <c r="Y45" s="18">
        <f>X45+Y35</f>
        <v/>
      </c>
    </row>
  </sheetData>
  <conditionalFormatting sqref="B8:Y8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Cost Line</t>
        </is>
      </c>
      <c r="B1" s="1" t="inlineStr">
        <is>
          <t>Apr-26</t>
        </is>
      </c>
      <c r="C1" s="1" t="inlineStr">
        <is>
          <t>May-26</t>
        </is>
      </c>
      <c r="D1" s="1" t="inlineStr">
        <is>
          <t>Jun-26</t>
        </is>
      </c>
      <c r="E1" s="1" t="inlineStr">
        <is>
          <t>Jul-26</t>
        </is>
      </c>
      <c r="F1" s="1" t="inlineStr">
        <is>
          <t>Aug-26</t>
        </is>
      </c>
      <c r="G1" s="1" t="inlineStr">
        <is>
          <t>Sep-26</t>
        </is>
      </c>
      <c r="H1" s="1" t="inlineStr">
        <is>
          <t>Oct-26</t>
        </is>
      </c>
      <c r="I1" s="1" t="inlineStr">
        <is>
          <t>Nov-26</t>
        </is>
      </c>
      <c r="J1" s="1" t="inlineStr">
        <is>
          <t>Dec-26</t>
        </is>
      </c>
      <c r="K1" s="1" t="inlineStr">
        <is>
          <t>Jan-27</t>
        </is>
      </c>
      <c r="L1" s="1" t="inlineStr">
        <is>
          <t>Feb-27</t>
        </is>
      </c>
      <c r="M1" s="1" t="inlineStr">
        <is>
          <t>Mar-27</t>
        </is>
      </c>
      <c r="N1" s="1" t="inlineStr">
        <is>
          <t>Apr-27</t>
        </is>
      </c>
      <c r="O1" s="1" t="inlineStr">
        <is>
          <t>May-27</t>
        </is>
      </c>
      <c r="P1" s="1" t="inlineStr">
        <is>
          <t>Jun-27</t>
        </is>
      </c>
      <c r="Q1" s="1" t="inlineStr">
        <is>
          <t>Jul-27</t>
        </is>
      </c>
      <c r="R1" s="1" t="inlineStr">
        <is>
          <t>Aug-27</t>
        </is>
      </c>
      <c r="S1" s="1" t="inlineStr">
        <is>
          <t>Sep-27</t>
        </is>
      </c>
      <c r="T1" s="1" t="inlineStr">
        <is>
          <t>Oct-27</t>
        </is>
      </c>
      <c r="U1" s="1" t="inlineStr">
        <is>
          <t>Nov-27</t>
        </is>
      </c>
      <c r="V1" s="1" t="inlineStr">
        <is>
          <t>Dec-27</t>
        </is>
      </c>
      <c r="W1" s="1" t="inlineStr">
        <is>
          <t>Jan-28</t>
        </is>
      </c>
      <c r="X1" s="1" t="inlineStr">
        <is>
          <t>Feb-28</t>
        </is>
      </c>
      <c r="Y1" s="1" t="inlineStr">
        <is>
          <t>Mar-28</t>
        </is>
      </c>
    </row>
    <row r="2">
      <c r="A2" s="2" t="inlineStr">
        <is>
          <t>COST OF GOODS SOLD (COGS)</t>
        </is>
      </c>
    </row>
    <row r="3">
      <c r="A3" s="3" t="inlineStr">
        <is>
          <t xml:space="preserve">  Supabase (Database + Auth)</t>
        </is>
      </c>
      <c r="B3" s="15">
        <f>IF('User Growth'!B20&gt;Assumptions!$B$55,Assumptions!$B$54,Assumptions!$B$53)</f>
        <v/>
      </c>
      <c r="C3" s="15">
        <f>IF('User Growth'!C20&gt;Assumptions!$B$55,Assumptions!$B$54,Assumptions!$B$53)</f>
        <v/>
      </c>
      <c r="D3" s="15">
        <f>IF('User Growth'!D20&gt;Assumptions!$B$55,Assumptions!$B$54,Assumptions!$B$53)</f>
        <v/>
      </c>
      <c r="E3" s="15">
        <f>IF('User Growth'!E20&gt;Assumptions!$B$55,Assumptions!$B$54,Assumptions!$B$53)</f>
        <v/>
      </c>
      <c r="F3" s="15">
        <f>IF('User Growth'!F20&gt;Assumptions!$B$55,Assumptions!$B$54,Assumptions!$B$53)</f>
        <v/>
      </c>
      <c r="G3" s="15">
        <f>IF('User Growth'!G20&gt;Assumptions!$B$55,Assumptions!$B$54,Assumptions!$B$53)</f>
        <v/>
      </c>
      <c r="H3" s="15">
        <f>IF('User Growth'!H20&gt;Assumptions!$B$55,Assumptions!$B$54,Assumptions!$B$53)</f>
        <v/>
      </c>
      <c r="I3" s="15">
        <f>IF('User Growth'!I20&gt;Assumptions!$B$55,Assumptions!$B$54,Assumptions!$B$53)</f>
        <v/>
      </c>
      <c r="J3" s="15">
        <f>IF('User Growth'!J20&gt;Assumptions!$B$55,Assumptions!$B$54,Assumptions!$B$53)</f>
        <v/>
      </c>
      <c r="K3" s="15">
        <f>IF('User Growth'!K20&gt;Assumptions!$B$55,Assumptions!$B$54,Assumptions!$B$53)</f>
        <v/>
      </c>
      <c r="L3" s="15">
        <f>IF('User Growth'!L20&gt;Assumptions!$B$55,Assumptions!$B$54,Assumptions!$B$53)</f>
        <v/>
      </c>
      <c r="M3" s="15">
        <f>IF('User Growth'!M20&gt;Assumptions!$B$55,Assumptions!$B$54,Assumptions!$B$53)</f>
        <v/>
      </c>
      <c r="N3" s="15">
        <f>IF('User Growth'!N20&gt;Assumptions!$B$55,Assumptions!$B$54,Assumptions!$B$53)</f>
        <v/>
      </c>
      <c r="O3" s="15">
        <f>IF('User Growth'!O20&gt;Assumptions!$B$55,Assumptions!$B$54,Assumptions!$B$53)</f>
        <v/>
      </c>
      <c r="P3" s="15">
        <f>IF('User Growth'!P20&gt;Assumptions!$B$55,Assumptions!$B$54,Assumptions!$B$53)</f>
        <v/>
      </c>
      <c r="Q3" s="15">
        <f>IF('User Growth'!Q20&gt;Assumptions!$B$55,Assumptions!$B$54,Assumptions!$B$53)</f>
        <v/>
      </c>
      <c r="R3" s="15">
        <f>IF('User Growth'!R20&gt;Assumptions!$B$55,Assumptions!$B$54,Assumptions!$B$53)</f>
        <v/>
      </c>
      <c r="S3" s="15">
        <f>IF('User Growth'!S20&gt;Assumptions!$B$55,Assumptions!$B$54,Assumptions!$B$53)</f>
        <v/>
      </c>
      <c r="T3" s="15">
        <f>IF('User Growth'!T20&gt;Assumptions!$B$55,Assumptions!$B$54,Assumptions!$B$53)</f>
        <v/>
      </c>
      <c r="U3" s="15">
        <f>IF('User Growth'!U20&gt;Assumptions!$B$55,Assumptions!$B$54,Assumptions!$B$53)</f>
        <v/>
      </c>
      <c r="V3" s="15">
        <f>IF('User Growth'!V20&gt;Assumptions!$B$55,Assumptions!$B$54,Assumptions!$B$53)</f>
        <v/>
      </c>
      <c r="W3" s="15">
        <f>IF('User Growth'!W20&gt;Assumptions!$B$55,Assumptions!$B$54,Assumptions!$B$53)</f>
        <v/>
      </c>
      <c r="X3" s="15">
        <f>IF('User Growth'!X20&gt;Assumptions!$B$55,Assumptions!$B$54,Assumptions!$B$53)</f>
        <v/>
      </c>
      <c r="Y3" s="15">
        <f>IF('User Growth'!Y20&gt;Assumptions!$B$55,Assumptions!$B$54,Assumptions!$B$53)</f>
        <v/>
      </c>
    </row>
    <row r="4">
      <c r="A4" s="3" t="inlineStr">
        <is>
          <t xml:space="preserve">  Firebase Hosting</t>
        </is>
      </c>
      <c r="B4" s="19">
        <f>Assumptions!$B$56+MAX(0,'User Growth'!B20-1000)*Assumptions!$B$57</f>
        <v/>
      </c>
      <c r="C4" s="19">
        <f>Assumptions!$B$56+MAX(0,'User Growth'!C20-1000)*Assumptions!$B$57</f>
        <v/>
      </c>
      <c r="D4" s="19">
        <f>Assumptions!$B$56+MAX(0,'User Growth'!D20-1000)*Assumptions!$B$57</f>
        <v/>
      </c>
      <c r="E4" s="19">
        <f>Assumptions!$B$56+MAX(0,'User Growth'!E20-1000)*Assumptions!$B$57</f>
        <v/>
      </c>
      <c r="F4" s="19">
        <f>Assumptions!$B$56+MAX(0,'User Growth'!F20-1000)*Assumptions!$B$57</f>
        <v/>
      </c>
      <c r="G4" s="19">
        <f>Assumptions!$B$56+MAX(0,'User Growth'!G20-1000)*Assumptions!$B$57</f>
        <v/>
      </c>
      <c r="H4" s="19">
        <f>Assumptions!$B$56+MAX(0,'User Growth'!H20-1000)*Assumptions!$B$57</f>
        <v/>
      </c>
      <c r="I4" s="19">
        <f>Assumptions!$B$56+MAX(0,'User Growth'!I20-1000)*Assumptions!$B$57</f>
        <v/>
      </c>
      <c r="J4" s="19">
        <f>Assumptions!$B$56+MAX(0,'User Growth'!J20-1000)*Assumptions!$B$57</f>
        <v/>
      </c>
      <c r="K4" s="19">
        <f>Assumptions!$B$56+MAX(0,'User Growth'!K20-1000)*Assumptions!$B$57</f>
        <v/>
      </c>
      <c r="L4" s="19">
        <f>Assumptions!$B$56+MAX(0,'User Growth'!L20-1000)*Assumptions!$B$57</f>
        <v/>
      </c>
      <c r="M4" s="19">
        <f>Assumptions!$B$56+MAX(0,'User Growth'!M20-1000)*Assumptions!$B$57</f>
        <v/>
      </c>
      <c r="N4" s="19">
        <f>Assumptions!$B$56+MAX(0,'User Growth'!N20-1000)*Assumptions!$B$57</f>
        <v/>
      </c>
      <c r="O4" s="19">
        <f>Assumptions!$B$56+MAX(0,'User Growth'!O20-1000)*Assumptions!$B$57</f>
        <v/>
      </c>
      <c r="P4" s="19">
        <f>Assumptions!$B$56+MAX(0,'User Growth'!P20-1000)*Assumptions!$B$57</f>
        <v/>
      </c>
      <c r="Q4" s="19">
        <f>Assumptions!$B$56+MAX(0,'User Growth'!Q20-1000)*Assumptions!$B$57</f>
        <v/>
      </c>
      <c r="R4" s="19">
        <f>Assumptions!$B$56+MAX(0,'User Growth'!R20-1000)*Assumptions!$B$57</f>
        <v/>
      </c>
      <c r="S4" s="19">
        <f>Assumptions!$B$56+MAX(0,'User Growth'!S20-1000)*Assumptions!$B$57</f>
        <v/>
      </c>
      <c r="T4" s="19">
        <f>Assumptions!$B$56+MAX(0,'User Growth'!T20-1000)*Assumptions!$B$57</f>
        <v/>
      </c>
      <c r="U4" s="19">
        <f>Assumptions!$B$56+MAX(0,'User Growth'!U20-1000)*Assumptions!$B$57</f>
        <v/>
      </c>
      <c r="V4" s="19">
        <f>Assumptions!$B$56+MAX(0,'User Growth'!V20-1000)*Assumptions!$B$57</f>
        <v/>
      </c>
      <c r="W4" s="19">
        <f>Assumptions!$B$56+MAX(0,'User Growth'!W20-1000)*Assumptions!$B$57</f>
        <v/>
      </c>
      <c r="X4" s="19">
        <f>Assumptions!$B$56+MAX(0,'User Growth'!X20-1000)*Assumptions!$B$57</f>
        <v/>
      </c>
      <c r="Y4" s="19">
        <f>Assumptions!$B$56+MAX(0,'User Growth'!Y20-1000)*Assumptions!$B$57</f>
        <v/>
      </c>
    </row>
    <row r="5">
      <c r="A5" s="3" t="inlineStr">
        <is>
          <t xml:space="preserve">  Claude API (Stormy AI)</t>
        </is>
      </c>
      <c r="B5" s="19">
        <f>('User Growth'!B17*Assumptions!$B$27+'User Growth'!B18*Assumptions!$B$28+'User Growth'!B19*Assumptions!$B$29)/1000000*Assumptions!$B$58</f>
        <v/>
      </c>
      <c r="C5" s="19">
        <f>('User Growth'!C17*Assumptions!$B$27+'User Growth'!C18*Assumptions!$B$28+'User Growth'!C19*Assumptions!$B$29)/1000000*Assumptions!$B$58</f>
        <v/>
      </c>
      <c r="D5" s="19">
        <f>('User Growth'!D17*Assumptions!$B$27+'User Growth'!D18*Assumptions!$B$28+'User Growth'!D19*Assumptions!$B$29)/1000000*Assumptions!$B$58</f>
        <v/>
      </c>
      <c r="E5" s="19">
        <f>('User Growth'!E17*Assumptions!$B$27+'User Growth'!E18*Assumptions!$B$28+'User Growth'!E19*Assumptions!$B$29)/1000000*Assumptions!$B$58</f>
        <v/>
      </c>
      <c r="F5" s="19">
        <f>('User Growth'!F17*Assumptions!$B$27+'User Growth'!F18*Assumptions!$B$28+'User Growth'!F19*Assumptions!$B$29)/1000000*Assumptions!$B$58</f>
        <v/>
      </c>
      <c r="G5" s="19">
        <f>('User Growth'!G17*Assumptions!$B$27+'User Growth'!G18*Assumptions!$B$28+'User Growth'!G19*Assumptions!$B$29)/1000000*Assumptions!$B$58</f>
        <v/>
      </c>
      <c r="H5" s="19">
        <f>('User Growth'!H17*Assumptions!$B$27+'User Growth'!H18*Assumptions!$B$28+'User Growth'!H19*Assumptions!$B$29)/1000000*Assumptions!$B$58</f>
        <v/>
      </c>
      <c r="I5" s="19">
        <f>('User Growth'!I17*Assumptions!$B$27+'User Growth'!I18*Assumptions!$B$28+'User Growth'!I19*Assumptions!$B$29)/1000000*Assumptions!$B$58</f>
        <v/>
      </c>
      <c r="J5" s="19">
        <f>('User Growth'!J17*Assumptions!$B$27+'User Growth'!J18*Assumptions!$B$28+'User Growth'!J19*Assumptions!$B$29)/1000000*Assumptions!$B$58</f>
        <v/>
      </c>
      <c r="K5" s="19">
        <f>('User Growth'!K17*Assumptions!$B$27+'User Growth'!K18*Assumptions!$B$28+'User Growth'!K19*Assumptions!$B$29)/1000000*Assumptions!$B$58</f>
        <v/>
      </c>
      <c r="L5" s="19">
        <f>('User Growth'!L17*Assumptions!$B$27+'User Growth'!L18*Assumptions!$B$28+'User Growth'!L19*Assumptions!$B$29)/1000000*Assumptions!$B$58</f>
        <v/>
      </c>
      <c r="M5" s="19">
        <f>('User Growth'!M17*Assumptions!$B$27+'User Growth'!M18*Assumptions!$B$28+'User Growth'!M19*Assumptions!$B$29)/1000000*Assumptions!$B$58</f>
        <v/>
      </c>
      <c r="N5" s="19">
        <f>('User Growth'!N17*Assumptions!$B$27+'User Growth'!N18*Assumptions!$B$28+'User Growth'!N19*Assumptions!$B$29)/1000000*Assumptions!$B$58</f>
        <v/>
      </c>
      <c r="O5" s="19">
        <f>('User Growth'!O17*Assumptions!$B$27+'User Growth'!O18*Assumptions!$B$28+'User Growth'!O19*Assumptions!$B$29)/1000000*Assumptions!$B$58</f>
        <v/>
      </c>
      <c r="P5" s="19">
        <f>('User Growth'!P17*Assumptions!$B$27+'User Growth'!P18*Assumptions!$B$28+'User Growth'!P19*Assumptions!$B$29)/1000000*Assumptions!$B$58</f>
        <v/>
      </c>
      <c r="Q5" s="19">
        <f>('User Growth'!Q17*Assumptions!$B$27+'User Growth'!Q18*Assumptions!$B$28+'User Growth'!Q19*Assumptions!$B$29)/1000000*Assumptions!$B$58</f>
        <v/>
      </c>
      <c r="R5" s="19">
        <f>('User Growth'!R17*Assumptions!$B$27+'User Growth'!R18*Assumptions!$B$28+'User Growth'!R19*Assumptions!$B$29)/1000000*Assumptions!$B$58</f>
        <v/>
      </c>
      <c r="S5" s="19">
        <f>('User Growth'!S17*Assumptions!$B$27+'User Growth'!S18*Assumptions!$B$28+'User Growth'!S19*Assumptions!$B$29)/1000000*Assumptions!$B$58</f>
        <v/>
      </c>
      <c r="T5" s="19">
        <f>('User Growth'!T17*Assumptions!$B$27+'User Growth'!T18*Assumptions!$B$28+'User Growth'!T19*Assumptions!$B$29)/1000000*Assumptions!$B$58</f>
        <v/>
      </c>
      <c r="U5" s="19">
        <f>('User Growth'!U17*Assumptions!$B$27+'User Growth'!U18*Assumptions!$B$28+'User Growth'!U19*Assumptions!$B$29)/1000000*Assumptions!$B$58</f>
        <v/>
      </c>
      <c r="V5" s="19">
        <f>('User Growth'!V17*Assumptions!$B$27+'User Growth'!V18*Assumptions!$B$28+'User Growth'!V19*Assumptions!$B$29)/1000000*Assumptions!$B$58</f>
        <v/>
      </c>
      <c r="W5" s="19">
        <f>('User Growth'!W17*Assumptions!$B$27+'User Growth'!W18*Assumptions!$B$28+'User Growth'!W19*Assumptions!$B$29)/1000000*Assumptions!$B$58</f>
        <v/>
      </c>
      <c r="X5" s="19">
        <f>('User Growth'!X17*Assumptions!$B$27+'User Growth'!X18*Assumptions!$B$28+'User Growth'!X19*Assumptions!$B$29)/1000000*Assumptions!$B$58</f>
        <v/>
      </c>
      <c r="Y5" s="19">
        <f>('User Growth'!Y17*Assumptions!$B$27+'User Growth'!Y18*Assumptions!$B$28+'User Growth'!Y19*Assumptions!$B$29)/1000000*Assumptions!$B$58</f>
        <v/>
      </c>
    </row>
    <row r="6">
      <c r="A6" s="3" t="inlineStr">
        <is>
          <t xml:space="preserve">  Proxy Rotation (Data Pipeline)</t>
        </is>
      </c>
      <c r="B6" s="15">
        <f>Assumptions!$B$59</f>
        <v/>
      </c>
      <c r="C6" s="15">
        <f>Assumptions!$B$59</f>
        <v/>
      </c>
      <c r="D6" s="15">
        <f>Assumptions!$B$59</f>
        <v/>
      </c>
      <c r="E6" s="15">
        <f>Assumptions!$B$59</f>
        <v/>
      </c>
      <c r="F6" s="15">
        <f>Assumptions!$B$59</f>
        <v/>
      </c>
      <c r="G6" s="15">
        <f>Assumptions!$B$59</f>
        <v/>
      </c>
      <c r="H6" s="15">
        <f>Assumptions!$B$59</f>
        <v/>
      </c>
      <c r="I6" s="15">
        <f>Assumptions!$B$59</f>
        <v/>
      </c>
      <c r="J6" s="15">
        <f>Assumptions!$B$59</f>
        <v/>
      </c>
      <c r="K6" s="15">
        <f>Assumptions!$B$59</f>
        <v/>
      </c>
      <c r="L6" s="15">
        <f>Assumptions!$B$59</f>
        <v/>
      </c>
      <c r="M6" s="15">
        <f>Assumptions!$B$59</f>
        <v/>
      </c>
      <c r="N6" s="15">
        <f>Assumptions!$B$59</f>
        <v/>
      </c>
      <c r="O6" s="15">
        <f>Assumptions!$B$59</f>
        <v/>
      </c>
      <c r="P6" s="15">
        <f>Assumptions!$B$59</f>
        <v/>
      </c>
      <c r="Q6" s="15">
        <f>Assumptions!$B$59</f>
        <v/>
      </c>
      <c r="R6" s="15">
        <f>Assumptions!$B$59</f>
        <v/>
      </c>
      <c r="S6" s="15">
        <f>Assumptions!$B$59</f>
        <v/>
      </c>
      <c r="T6" s="15">
        <f>Assumptions!$B$59</f>
        <v/>
      </c>
      <c r="U6" s="15">
        <f>Assumptions!$B$59</f>
        <v/>
      </c>
      <c r="V6" s="15">
        <f>Assumptions!$B$59</f>
        <v/>
      </c>
      <c r="W6" s="15">
        <f>Assumptions!$B$59</f>
        <v/>
      </c>
      <c r="X6" s="15">
        <f>Assumptions!$B$59</f>
        <v/>
      </c>
      <c r="Y6" s="15">
        <f>Assumptions!$B$59</f>
        <v/>
      </c>
    </row>
    <row r="7">
      <c r="A7" s="3" t="inlineStr">
        <is>
          <t xml:space="preserve">  Domain / SSL / Misc</t>
        </is>
      </c>
      <c r="B7" s="15">
        <f>Assumptions!$B$60</f>
        <v/>
      </c>
      <c r="C7" s="15">
        <f>Assumptions!$B$60</f>
        <v/>
      </c>
      <c r="D7" s="15">
        <f>Assumptions!$B$60</f>
        <v/>
      </c>
      <c r="E7" s="15">
        <f>Assumptions!$B$60</f>
        <v/>
      </c>
      <c r="F7" s="15">
        <f>Assumptions!$B$60</f>
        <v/>
      </c>
      <c r="G7" s="15">
        <f>Assumptions!$B$60</f>
        <v/>
      </c>
      <c r="H7" s="15">
        <f>Assumptions!$B$60</f>
        <v/>
      </c>
      <c r="I7" s="15">
        <f>Assumptions!$B$60</f>
        <v/>
      </c>
      <c r="J7" s="15">
        <f>Assumptions!$B$60</f>
        <v/>
      </c>
      <c r="K7" s="15">
        <f>Assumptions!$B$60</f>
        <v/>
      </c>
      <c r="L7" s="15">
        <f>Assumptions!$B$60</f>
        <v/>
      </c>
      <c r="M7" s="15">
        <f>Assumptions!$B$60</f>
        <v/>
      </c>
      <c r="N7" s="15">
        <f>Assumptions!$B$60</f>
        <v/>
      </c>
      <c r="O7" s="15">
        <f>Assumptions!$B$60</f>
        <v/>
      </c>
      <c r="P7" s="15">
        <f>Assumptions!$B$60</f>
        <v/>
      </c>
      <c r="Q7" s="15">
        <f>Assumptions!$B$60</f>
        <v/>
      </c>
      <c r="R7" s="15">
        <f>Assumptions!$B$60</f>
        <v/>
      </c>
      <c r="S7" s="15">
        <f>Assumptions!$B$60</f>
        <v/>
      </c>
      <c r="T7" s="15">
        <f>Assumptions!$B$60</f>
        <v/>
      </c>
      <c r="U7" s="15">
        <f>Assumptions!$B$60</f>
        <v/>
      </c>
      <c r="V7" s="15">
        <f>Assumptions!$B$60</f>
        <v/>
      </c>
      <c r="W7" s="15">
        <f>Assumptions!$B$60</f>
        <v/>
      </c>
      <c r="X7" s="15">
        <f>Assumptions!$B$60</f>
        <v/>
      </c>
      <c r="Y7" s="15">
        <f>Assumptions!$B$60</f>
        <v/>
      </c>
    </row>
    <row r="8">
      <c r="A8" s="17" t="inlineStr">
        <is>
          <t xml:space="preserve">  TOTAL COGS</t>
        </is>
      </c>
      <c r="B8" s="18">
        <f>B3+B4+B5+B6+B7</f>
        <v/>
      </c>
      <c r="C8" s="18">
        <f>C3+C4+C5+C6+C7</f>
        <v/>
      </c>
      <c r="D8" s="18">
        <f>D3+D4+D5+D6+D7</f>
        <v/>
      </c>
      <c r="E8" s="18">
        <f>E3+E4+E5+E6+E7</f>
        <v/>
      </c>
      <c r="F8" s="18">
        <f>F3+F4+F5+F6+F7</f>
        <v/>
      </c>
      <c r="G8" s="18">
        <f>G3+G4+G5+G6+G7</f>
        <v/>
      </c>
      <c r="H8" s="18">
        <f>H3+H4+H5+H6+H7</f>
        <v/>
      </c>
      <c r="I8" s="18">
        <f>I3+I4+I5+I6+I7</f>
        <v/>
      </c>
      <c r="J8" s="18">
        <f>J3+J4+J5+J6+J7</f>
        <v/>
      </c>
      <c r="K8" s="18">
        <f>K3+K4+K5+K6+K7</f>
        <v/>
      </c>
      <c r="L8" s="18">
        <f>L3+L4+L5+L6+L7</f>
        <v/>
      </c>
      <c r="M8" s="18">
        <f>M3+M4+M5+M6+M7</f>
        <v/>
      </c>
      <c r="N8" s="18">
        <f>N3+N4+N5+N6+N7</f>
        <v/>
      </c>
      <c r="O8" s="18">
        <f>O3+O4+O5+O6+O7</f>
        <v/>
      </c>
      <c r="P8" s="18">
        <f>P3+P4+P5+P6+P7</f>
        <v/>
      </c>
      <c r="Q8" s="18">
        <f>Q3+Q4+Q5+Q6+Q7</f>
        <v/>
      </c>
      <c r="R8" s="18">
        <f>R3+R4+R5+R6+R7</f>
        <v/>
      </c>
      <c r="S8" s="18">
        <f>S3+S4+S5+S6+S7</f>
        <v/>
      </c>
      <c r="T8" s="18">
        <f>T3+T4+T5+T6+T7</f>
        <v/>
      </c>
      <c r="U8" s="18">
        <f>U3+U4+U5+U6+U7</f>
        <v/>
      </c>
      <c r="V8" s="18">
        <f>V3+V4+V5+V6+V7</f>
        <v/>
      </c>
      <c r="W8" s="18">
        <f>W3+W4+W5+W6+W7</f>
        <v/>
      </c>
      <c r="X8" s="18">
        <f>X3+X4+X5+X6+X7</f>
        <v/>
      </c>
      <c r="Y8" s="18">
        <f>Y3+Y4+Y5+Y6+Y7</f>
        <v/>
      </c>
    </row>
    <row r="10">
      <c r="A10" s="17" t="inlineStr">
        <is>
          <t>GROSS PROFIT</t>
        </is>
      </c>
      <c r="B10" s="18">
        <f>Revenue!B35-B8</f>
        <v/>
      </c>
      <c r="C10" s="18">
        <f>Revenue!C35-C8</f>
        <v/>
      </c>
      <c r="D10" s="18">
        <f>Revenue!D35-D8</f>
        <v/>
      </c>
      <c r="E10" s="18">
        <f>Revenue!E35-E8</f>
        <v/>
      </c>
      <c r="F10" s="18">
        <f>Revenue!F35-F8</f>
        <v/>
      </c>
      <c r="G10" s="18">
        <f>Revenue!G35-G8</f>
        <v/>
      </c>
      <c r="H10" s="18">
        <f>Revenue!H35-H8</f>
        <v/>
      </c>
      <c r="I10" s="18">
        <f>Revenue!I35-I8</f>
        <v/>
      </c>
      <c r="J10" s="18">
        <f>Revenue!J35-J8</f>
        <v/>
      </c>
      <c r="K10" s="18">
        <f>Revenue!K35-K8</f>
        <v/>
      </c>
      <c r="L10" s="18">
        <f>Revenue!L35-L8</f>
        <v/>
      </c>
      <c r="M10" s="18">
        <f>Revenue!M35-M8</f>
        <v/>
      </c>
      <c r="N10" s="18">
        <f>Revenue!N35-N8</f>
        <v/>
      </c>
      <c r="O10" s="18">
        <f>Revenue!O35-O8</f>
        <v/>
      </c>
      <c r="P10" s="18">
        <f>Revenue!P35-P8</f>
        <v/>
      </c>
      <c r="Q10" s="18">
        <f>Revenue!Q35-Q8</f>
        <v/>
      </c>
      <c r="R10" s="18">
        <f>Revenue!R35-R8</f>
        <v/>
      </c>
      <c r="S10" s="18">
        <f>Revenue!S35-S8</f>
        <v/>
      </c>
      <c r="T10" s="18">
        <f>Revenue!T35-T8</f>
        <v/>
      </c>
      <c r="U10" s="18">
        <f>Revenue!U35-U8</f>
        <v/>
      </c>
      <c r="V10" s="18">
        <f>Revenue!V35-V8</f>
        <v/>
      </c>
      <c r="W10" s="18">
        <f>Revenue!W35-W8</f>
        <v/>
      </c>
      <c r="X10" s="18">
        <f>Revenue!X35-X8</f>
        <v/>
      </c>
      <c r="Y10" s="18">
        <f>Revenue!Y35-Y8</f>
        <v/>
      </c>
    </row>
    <row r="11">
      <c r="A11" s="3" t="inlineStr">
        <is>
          <t>GROSS MARGIN %</t>
        </is>
      </c>
      <c r="B11" s="16">
        <f>IF(Revenue!B35&lt;&gt;0,B10/Revenue!B35,0)</f>
        <v/>
      </c>
      <c r="C11" s="16">
        <f>IF(Revenue!C35&lt;&gt;0,C10/Revenue!C35,0)</f>
        <v/>
      </c>
      <c r="D11" s="16">
        <f>IF(Revenue!D35&lt;&gt;0,D10/Revenue!D35,0)</f>
        <v/>
      </c>
      <c r="E11" s="16">
        <f>IF(Revenue!E35&lt;&gt;0,E10/Revenue!E35,0)</f>
        <v/>
      </c>
      <c r="F11" s="16">
        <f>IF(Revenue!F35&lt;&gt;0,F10/Revenue!F35,0)</f>
        <v/>
      </c>
      <c r="G11" s="16">
        <f>IF(Revenue!G35&lt;&gt;0,G10/Revenue!G35,0)</f>
        <v/>
      </c>
      <c r="H11" s="16">
        <f>IF(Revenue!H35&lt;&gt;0,H10/Revenue!H35,0)</f>
        <v/>
      </c>
      <c r="I11" s="16">
        <f>IF(Revenue!I35&lt;&gt;0,I10/Revenue!I35,0)</f>
        <v/>
      </c>
      <c r="J11" s="16">
        <f>IF(Revenue!J35&lt;&gt;0,J10/Revenue!J35,0)</f>
        <v/>
      </c>
      <c r="K11" s="16">
        <f>IF(Revenue!K35&lt;&gt;0,K10/Revenue!K35,0)</f>
        <v/>
      </c>
      <c r="L11" s="16">
        <f>IF(Revenue!L35&lt;&gt;0,L10/Revenue!L35,0)</f>
        <v/>
      </c>
      <c r="M11" s="16">
        <f>IF(Revenue!M35&lt;&gt;0,M10/Revenue!M35,0)</f>
        <v/>
      </c>
      <c r="N11" s="16">
        <f>IF(Revenue!N35&lt;&gt;0,N10/Revenue!N35,0)</f>
        <v/>
      </c>
      <c r="O11" s="16">
        <f>IF(Revenue!O35&lt;&gt;0,O10/Revenue!O35,0)</f>
        <v/>
      </c>
      <c r="P11" s="16">
        <f>IF(Revenue!P35&lt;&gt;0,P10/Revenue!P35,0)</f>
        <v/>
      </c>
      <c r="Q11" s="16">
        <f>IF(Revenue!Q35&lt;&gt;0,Q10/Revenue!Q35,0)</f>
        <v/>
      </c>
      <c r="R11" s="16">
        <f>IF(Revenue!R35&lt;&gt;0,R10/Revenue!R35,0)</f>
        <v/>
      </c>
      <c r="S11" s="16">
        <f>IF(Revenue!S35&lt;&gt;0,S10/Revenue!S35,0)</f>
        <v/>
      </c>
      <c r="T11" s="16">
        <f>IF(Revenue!T35&lt;&gt;0,T10/Revenue!T35,0)</f>
        <v/>
      </c>
      <c r="U11" s="16">
        <f>IF(Revenue!U35&lt;&gt;0,U10/Revenue!U35,0)</f>
        <v/>
      </c>
      <c r="V11" s="16">
        <f>IF(Revenue!V35&lt;&gt;0,V10/Revenue!V35,0)</f>
        <v/>
      </c>
      <c r="W11" s="16">
        <f>IF(Revenue!W35&lt;&gt;0,W10/Revenue!W35,0)</f>
        <v/>
      </c>
      <c r="X11" s="16">
        <f>IF(Revenue!X35&lt;&gt;0,X10/Revenue!X35,0)</f>
        <v/>
      </c>
      <c r="Y11" s="16">
        <f>IF(Revenue!Y35&lt;&gt;0,Y10/Revenue!Y35,0)</f>
        <v/>
      </c>
    </row>
    <row r="13">
      <c r="A13" s="2" t="inlineStr">
        <is>
          <t>OPERATING EXPENSES (OPEX)</t>
        </is>
      </c>
    </row>
    <row r="14">
      <c r="A14" s="2" t="inlineStr">
        <is>
          <t xml:space="preserve">  SALES &amp; MARKETING</t>
        </is>
      </c>
    </row>
    <row r="15">
      <c r="A15" s="3" t="inlineStr">
        <is>
          <t xml:space="preserve">    Digital Marketing</t>
        </is>
      </c>
      <c r="B15" s="15">
        <f>IF(COLUMN()-2&gt;=Assumptions!$B$74,'User Growth'!B3*Assumptions!$B$75,0)</f>
        <v/>
      </c>
      <c r="C15" s="15">
        <f>IF(COLUMN()-2&gt;=Assumptions!$B$74,'User Growth'!C3*Assumptions!$B$75,0)</f>
        <v/>
      </c>
      <c r="D15" s="15">
        <f>IF(COLUMN()-2&gt;=Assumptions!$B$74,'User Growth'!D3*Assumptions!$B$75,0)</f>
        <v/>
      </c>
      <c r="E15" s="15">
        <f>IF(COLUMN()-2&gt;=Assumptions!$B$74,'User Growth'!E3*Assumptions!$B$75,0)</f>
        <v/>
      </c>
      <c r="F15" s="15">
        <f>IF(COLUMN()-2&gt;=Assumptions!$B$74,'User Growth'!F3*Assumptions!$B$75,0)</f>
        <v/>
      </c>
      <c r="G15" s="15">
        <f>IF(COLUMN()-2&gt;=Assumptions!$B$74,'User Growth'!G3*Assumptions!$B$75,0)</f>
        <v/>
      </c>
      <c r="H15" s="15">
        <f>IF(COLUMN()-2&gt;=Assumptions!$B$74,'User Growth'!H3*Assumptions!$B$75,0)</f>
        <v/>
      </c>
      <c r="I15" s="15">
        <f>IF(COLUMN()-2&gt;=Assumptions!$B$74,'User Growth'!I3*Assumptions!$B$75,0)</f>
        <v/>
      </c>
      <c r="J15" s="15">
        <f>IF(COLUMN()-2&gt;=Assumptions!$B$74,'User Growth'!J3*Assumptions!$B$75,0)</f>
        <v/>
      </c>
      <c r="K15" s="15">
        <f>IF(COLUMN()-2&gt;=Assumptions!$B$74,'User Growth'!K3*Assumptions!$B$75,0)</f>
        <v/>
      </c>
      <c r="L15" s="15">
        <f>IF(COLUMN()-2&gt;=Assumptions!$B$74,'User Growth'!L3*Assumptions!$B$75,0)</f>
        <v/>
      </c>
      <c r="M15" s="15">
        <f>IF(COLUMN()-2&gt;=Assumptions!$B$74,'User Growth'!M3*Assumptions!$B$75,0)</f>
        <v/>
      </c>
      <c r="N15" s="15">
        <f>IF(COLUMN()-2&gt;=Assumptions!$B$74,'User Growth'!N3*Assumptions!$B$75,0)</f>
        <v/>
      </c>
      <c r="O15" s="15">
        <f>IF(COLUMN()-2&gt;=Assumptions!$B$74,'User Growth'!O3*Assumptions!$B$75,0)</f>
        <v/>
      </c>
      <c r="P15" s="15">
        <f>IF(COLUMN()-2&gt;=Assumptions!$B$74,'User Growth'!P3*Assumptions!$B$75,0)</f>
        <v/>
      </c>
      <c r="Q15" s="15">
        <f>IF(COLUMN()-2&gt;=Assumptions!$B$74,'User Growth'!Q3*Assumptions!$B$75,0)</f>
        <v/>
      </c>
      <c r="R15" s="15">
        <f>IF(COLUMN()-2&gt;=Assumptions!$B$74,'User Growth'!R3*Assumptions!$B$75,0)</f>
        <v/>
      </c>
      <c r="S15" s="15">
        <f>IF(COLUMN()-2&gt;=Assumptions!$B$74,'User Growth'!S3*Assumptions!$B$75,0)</f>
        <v/>
      </c>
      <c r="T15" s="15">
        <f>IF(COLUMN()-2&gt;=Assumptions!$B$74,'User Growth'!T3*Assumptions!$B$75,0)</f>
        <v/>
      </c>
      <c r="U15" s="15">
        <f>IF(COLUMN()-2&gt;=Assumptions!$B$74,'User Growth'!U3*Assumptions!$B$75,0)</f>
        <v/>
      </c>
      <c r="V15" s="15">
        <f>IF(COLUMN()-2&gt;=Assumptions!$B$74,'User Growth'!V3*Assumptions!$B$75,0)</f>
        <v/>
      </c>
      <c r="W15" s="15">
        <f>IF(COLUMN()-2&gt;=Assumptions!$B$74,'User Growth'!W3*Assumptions!$B$75,0)</f>
        <v/>
      </c>
      <c r="X15" s="15">
        <f>IF(COLUMN()-2&gt;=Assumptions!$B$74,'User Growth'!X3*Assumptions!$B$75,0)</f>
        <v/>
      </c>
      <c r="Y15" s="15">
        <f>IF(COLUMN()-2&gt;=Assumptions!$B$74,'User Growth'!Y3*Assumptions!$B$75,0)</f>
        <v/>
      </c>
    </row>
    <row r="16">
      <c r="A16" s="3" t="inlineStr">
        <is>
          <t xml:space="preserve">    Influencer / Content Marketing</t>
        </is>
      </c>
      <c r="B16" s="15">
        <f>Assumptions!$B$78</f>
        <v/>
      </c>
      <c r="C16" s="15">
        <f>Assumptions!$B$79</f>
        <v/>
      </c>
      <c r="D16" s="15">
        <f>Assumptions!$B$80</f>
        <v/>
      </c>
      <c r="E16" s="15">
        <f>Assumptions!$B$81</f>
        <v/>
      </c>
      <c r="F16" s="15">
        <f>Assumptions!$B$82</f>
        <v/>
      </c>
      <c r="G16" s="15">
        <f>Assumptions!$B$83</f>
        <v/>
      </c>
      <c r="H16" s="15">
        <f>Assumptions!$B$84</f>
        <v/>
      </c>
      <c r="I16" s="15">
        <f>Assumptions!$B$85</f>
        <v/>
      </c>
      <c r="J16" s="15">
        <f>Assumptions!$B$86</f>
        <v/>
      </c>
      <c r="K16" s="15">
        <f>Assumptions!$B$87</f>
        <v/>
      </c>
      <c r="L16" s="15">
        <f>Assumptions!$B$88</f>
        <v/>
      </c>
      <c r="M16" s="15">
        <f>Assumptions!$B$89</f>
        <v/>
      </c>
      <c r="N16" s="15">
        <f>Assumptions!$B$90</f>
        <v/>
      </c>
      <c r="O16" s="15">
        <f>Assumptions!$B$91</f>
        <v/>
      </c>
      <c r="P16" s="15">
        <f>Assumptions!$B$92</f>
        <v/>
      </c>
      <c r="Q16" s="15">
        <f>Assumptions!$B$93</f>
        <v/>
      </c>
      <c r="R16" s="15">
        <f>Assumptions!$B$94</f>
        <v/>
      </c>
      <c r="S16" s="15">
        <f>Assumptions!$B$95</f>
        <v/>
      </c>
      <c r="T16" s="15">
        <f>Assumptions!$B$96</f>
        <v/>
      </c>
      <c r="U16" s="15">
        <f>Assumptions!$B$97</f>
        <v/>
      </c>
      <c r="V16" s="15">
        <f>Assumptions!$B$98</f>
        <v/>
      </c>
      <c r="W16" s="15">
        <f>Assumptions!$B$99</f>
        <v/>
      </c>
      <c r="X16" s="15">
        <f>Assumptions!$B$100</f>
        <v/>
      </c>
      <c r="Y16" s="15">
        <f>Assumptions!$B$101</f>
        <v/>
      </c>
    </row>
    <row r="17">
      <c r="A17" s="17" t="inlineStr">
        <is>
          <t xml:space="preserve">    Total Sales &amp; Marketing</t>
        </is>
      </c>
      <c r="B17" s="18">
        <f>B15+B16</f>
        <v/>
      </c>
      <c r="C17" s="18">
        <f>C15+C16</f>
        <v/>
      </c>
      <c r="D17" s="18">
        <f>D15+D16</f>
        <v/>
      </c>
      <c r="E17" s="18">
        <f>E15+E16</f>
        <v/>
      </c>
      <c r="F17" s="18">
        <f>F15+F16</f>
        <v/>
      </c>
      <c r="G17" s="18">
        <f>G15+G16</f>
        <v/>
      </c>
      <c r="H17" s="18">
        <f>H15+H16</f>
        <v/>
      </c>
      <c r="I17" s="18">
        <f>I15+I16</f>
        <v/>
      </c>
      <c r="J17" s="18">
        <f>J15+J16</f>
        <v/>
      </c>
      <c r="K17" s="18">
        <f>K15+K16</f>
        <v/>
      </c>
      <c r="L17" s="18">
        <f>L15+L16</f>
        <v/>
      </c>
      <c r="M17" s="18">
        <f>M15+M16</f>
        <v/>
      </c>
      <c r="N17" s="18">
        <f>N15+N16</f>
        <v/>
      </c>
      <c r="O17" s="18">
        <f>O15+O16</f>
        <v/>
      </c>
      <c r="P17" s="18">
        <f>P15+P16</f>
        <v/>
      </c>
      <c r="Q17" s="18">
        <f>Q15+Q16</f>
        <v/>
      </c>
      <c r="R17" s="18">
        <f>R15+R16</f>
        <v/>
      </c>
      <c r="S17" s="18">
        <f>S15+S16</f>
        <v/>
      </c>
      <c r="T17" s="18">
        <f>T15+T16</f>
        <v/>
      </c>
      <c r="U17" s="18">
        <f>U15+U16</f>
        <v/>
      </c>
      <c r="V17" s="18">
        <f>V15+V16</f>
        <v/>
      </c>
      <c r="W17" s="18">
        <f>W15+W16</f>
        <v/>
      </c>
      <c r="X17" s="18">
        <f>X15+X16</f>
        <v/>
      </c>
      <c r="Y17" s="18">
        <f>Y15+Y16</f>
        <v/>
      </c>
    </row>
    <row r="19">
      <c r="A19" s="2" t="inlineStr">
        <is>
          <t xml:space="preserve">  GENERAL &amp; ADMINISTRATIVE</t>
        </is>
      </c>
    </row>
    <row r="20">
      <c r="A20" s="3" t="inlineStr">
        <is>
          <t xml:space="preserve">    Contractors / Team</t>
        </is>
      </c>
      <c r="B20" s="15">
        <f>IF(COLUMN()-2&lt;6,Assumptions!$B$104,IF(COLUMN()-2&lt;12,Assumptions!$B$105,IF(COLUMN()-2&lt;18,Assumptions!$B$106,Assumptions!$B$107)))</f>
        <v/>
      </c>
      <c r="C20" s="15">
        <f>IF(COLUMN()-2&lt;6,Assumptions!$B$104,IF(COLUMN()-2&lt;12,Assumptions!$B$105,IF(COLUMN()-2&lt;18,Assumptions!$B$106,Assumptions!$B$107)))</f>
        <v/>
      </c>
      <c r="D20" s="15">
        <f>IF(COLUMN()-2&lt;6,Assumptions!$B$104,IF(COLUMN()-2&lt;12,Assumptions!$B$105,IF(COLUMN()-2&lt;18,Assumptions!$B$106,Assumptions!$B$107)))</f>
        <v/>
      </c>
      <c r="E20" s="15">
        <f>IF(COLUMN()-2&lt;6,Assumptions!$B$104,IF(COLUMN()-2&lt;12,Assumptions!$B$105,IF(COLUMN()-2&lt;18,Assumptions!$B$106,Assumptions!$B$107)))</f>
        <v/>
      </c>
      <c r="F20" s="15">
        <f>IF(COLUMN()-2&lt;6,Assumptions!$B$104,IF(COLUMN()-2&lt;12,Assumptions!$B$105,IF(COLUMN()-2&lt;18,Assumptions!$B$106,Assumptions!$B$107)))</f>
        <v/>
      </c>
      <c r="G20" s="15">
        <f>IF(COLUMN()-2&lt;6,Assumptions!$B$104,IF(COLUMN()-2&lt;12,Assumptions!$B$105,IF(COLUMN()-2&lt;18,Assumptions!$B$106,Assumptions!$B$107)))</f>
        <v/>
      </c>
      <c r="H20" s="15">
        <f>IF(COLUMN()-2&lt;6,Assumptions!$B$104,IF(COLUMN()-2&lt;12,Assumptions!$B$105,IF(COLUMN()-2&lt;18,Assumptions!$B$106,Assumptions!$B$107)))</f>
        <v/>
      </c>
      <c r="I20" s="15">
        <f>IF(COLUMN()-2&lt;6,Assumptions!$B$104,IF(COLUMN()-2&lt;12,Assumptions!$B$105,IF(COLUMN()-2&lt;18,Assumptions!$B$106,Assumptions!$B$107)))</f>
        <v/>
      </c>
      <c r="J20" s="15">
        <f>IF(COLUMN()-2&lt;6,Assumptions!$B$104,IF(COLUMN()-2&lt;12,Assumptions!$B$105,IF(COLUMN()-2&lt;18,Assumptions!$B$106,Assumptions!$B$107)))</f>
        <v/>
      </c>
      <c r="K20" s="15">
        <f>IF(COLUMN()-2&lt;6,Assumptions!$B$104,IF(COLUMN()-2&lt;12,Assumptions!$B$105,IF(COLUMN()-2&lt;18,Assumptions!$B$106,Assumptions!$B$107)))</f>
        <v/>
      </c>
      <c r="L20" s="15">
        <f>IF(COLUMN()-2&lt;6,Assumptions!$B$104,IF(COLUMN()-2&lt;12,Assumptions!$B$105,IF(COLUMN()-2&lt;18,Assumptions!$B$106,Assumptions!$B$107)))</f>
        <v/>
      </c>
      <c r="M20" s="15">
        <f>IF(COLUMN()-2&lt;6,Assumptions!$B$104,IF(COLUMN()-2&lt;12,Assumptions!$B$105,IF(COLUMN()-2&lt;18,Assumptions!$B$106,Assumptions!$B$107)))</f>
        <v/>
      </c>
      <c r="N20" s="15">
        <f>IF(COLUMN()-2&lt;6,Assumptions!$B$104,IF(COLUMN()-2&lt;12,Assumptions!$B$105,IF(COLUMN()-2&lt;18,Assumptions!$B$106,Assumptions!$B$107)))</f>
        <v/>
      </c>
      <c r="O20" s="15">
        <f>IF(COLUMN()-2&lt;6,Assumptions!$B$104,IF(COLUMN()-2&lt;12,Assumptions!$B$105,IF(COLUMN()-2&lt;18,Assumptions!$B$106,Assumptions!$B$107)))</f>
        <v/>
      </c>
      <c r="P20" s="15">
        <f>IF(COLUMN()-2&lt;6,Assumptions!$B$104,IF(COLUMN()-2&lt;12,Assumptions!$B$105,IF(COLUMN()-2&lt;18,Assumptions!$B$106,Assumptions!$B$107)))</f>
        <v/>
      </c>
      <c r="Q20" s="15">
        <f>IF(COLUMN()-2&lt;6,Assumptions!$B$104,IF(COLUMN()-2&lt;12,Assumptions!$B$105,IF(COLUMN()-2&lt;18,Assumptions!$B$106,Assumptions!$B$107)))</f>
        <v/>
      </c>
      <c r="R20" s="15">
        <f>IF(COLUMN()-2&lt;6,Assumptions!$B$104,IF(COLUMN()-2&lt;12,Assumptions!$B$105,IF(COLUMN()-2&lt;18,Assumptions!$B$106,Assumptions!$B$107)))</f>
        <v/>
      </c>
      <c r="S20" s="15">
        <f>IF(COLUMN()-2&lt;6,Assumptions!$B$104,IF(COLUMN()-2&lt;12,Assumptions!$B$105,IF(COLUMN()-2&lt;18,Assumptions!$B$106,Assumptions!$B$107)))</f>
        <v/>
      </c>
      <c r="T20" s="15">
        <f>IF(COLUMN()-2&lt;6,Assumptions!$B$104,IF(COLUMN()-2&lt;12,Assumptions!$B$105,IF(COLUMN()-2&lt;18,Assumptions!$B$106,Assumptions!$B$107)))</f>
        <v/>
      </c>
      <c r="U20" s="15">
        <f>IF(COLUMN()-2&lt;6,Assumptions!$B$104,IF(COLUMN()-2&lt;12,Assumptions!$B$105,IF(COLUMN()-2&lt;18,Assumptions!$B$106,Assumptions!$B$107)))</f>
        <v/>
      </c>
      <c r="V20" s="15">
        <f>IF(COLUMN()-2&lt;6,Assumptions!$B$104,IF(COLUMN()-2&lt;12,Assumptions!$B$105,IF(COLUMN()-2&lt;18,Assumptions!$B$106,Assumptions!$B$107)))</f>
        <v/>
      </c>
      <c r="W20" s="15">
        <f>IF(COLUMN()-2&lt;6,Assumptions!$B$104,IF(COLUMN()-2&lt;12,Assumptions!$B$105,IF(COLUMN()-2&lt;18,Assumptions!$B$106,Assumptions!$B$107)))</f>
        <v/>
      </c>
      <c r="X20" s="15">
        <f>IF(COLUMN()-2&lt;6,Assumptions!$B$104,IF(COLUMN()-2&lt;12,Assumptions!$B$105,IF(COLUMN()-2&lt;18,Assumptions!$B$106,Assumptions!$B$107)))</f>
        <v/>
      </c>
      <c r="Y20" s="15">
        <f>IF(COLUMN()-2&lt;6,Assumptions!$B$104,IF(COLUMN()-2&lt;12,Assumptions!$B$105,IF(COLUMN()-2&lt;18,Assumptions!$B$106,Assumptions!$B$107)))</f>
        <v/>
      </c>
    </row>
    <row r="21">
      <c r="A21" s="3" t="inlineStr">
        <is>
          <t xml:space="preserve">    Legal &amp; Accounting (Basic)</t>
        </is>
      </c>
      <c r="B21" s="15">
        <f>IF(COLUMN()&lt;14,Assumptions!$B$110,Assumptions!$B$111)</f>
        <v/>
      </c>
      <c r="C21" s="15">
        <f>IF(COLUMN()&lt;14,Assumptions!$B$110,Assumptions!$B$111)</f>
        <v/>
      </c>
      <c r="D21" s="15">
        <f>IF(COLUMN()&lt;14,Assumptions!$B$110,Assumptions!$B$111)</f>
        <v/>
      </c>
      <c r="E21" s="15">
        <f>IF(COLUMN()&lt;14,Assumptions!$B$110,Assumptions!$B$111)</f>
        <v/>
      </c>
      <c r="F21" s="15">
        <f>IF(COLUMN()&lt;14,Assumptions!$B$110,Assumptions!$B$111)</f>
        <v/>
      </c>
      <c r="G21" s="15">
        <f>IF(COLUMN()&lt;14,Assumptions!$B$110,Assumptions!$B$111)</f>
        <v/>
      </c>
      <c r="H21" s="15">
        <f>IF(COLUMN()&lt;14,Assumptions!$B$110,Assumptions!$B$111)</f>
        <v/>
      </c>
      <c r="I21" s="15">
        <f>IF(COLUMN()&lt;14,Assumptions!$B$110,Assumptions!$B$111)</f>
        <v/>
      </c>
      <c r="J21" s="15">
        <f>IF(COLUMN()&lt;14,Assumptions!$B$110,Assumptions!$B$111)</f>
        <v/>
      </c>
      <c r="K21" s="15">
        <f>IF(COLUMN()&lt;14,Assumptions!$B$110,Assumptions!$B$111)</f>
        <v/>
      </c>
      <c r="L21" s="15">
        <f>IF(COLUMN()&lt;14,Assumptions!$B$110,Assumptions!$B$111)</f>
        <v/>
      </c>
      <c r="M21" s="15">
        <f>IF(COLUMN()&lt;14,Assumptions!$B$110,Assumptions!$B$111)</f>
        <v/>
      </c>
      <c r="N21" s="15">
        <f>IF(COLUMN()&lt;14,Assumptions!$B$110,Assumptions!$B$111)</f>
        <v/>
      </c>
      <c r="O21" s="15">
        <f>IF(COLUMN()&lt;14,Assumptions!$B$110,Assumptions!$B$111)</f>
        <v/>
      </c>
      <c r="P21" s="15">
        <f>IF(COLUMN()&lt;14,Assumptions!$B$110,Assumptions!$B$111)</f>
        <v/>
      </c>
      <c r="Q21" s="15">
        <f>IF(COLUMN()&lt;14,Assumptions!$B$110,Assumptions!$B$111)</f>
        <v/>
      </c>
      <c r="R21" s="15">
        <f>IF(COLUMN()&lt;14,Assumptions!$B$110,Assumptions!$B$111)</f>
        <v/>
      </c>
      <c r="S21" s="15">
        <f>IF(COLUMN()&lt;14,Assumptions!$B$110,Assumptions!$B$111)</f>
        <v/>
      </c>
      <c r="T21" s="15">
        <f>IF(COLUMN()&lt;14,Assumptions!$B$110,Assumptions!$B$111)</f>
        <v/>
      </c>
      <c r="U21" s="15">
        <f>IF(COLUMN()&lt;14,Assumptions!$B$110,Assumptions!$B$111)</f>
        <v/>
      </c>
      <c r="V21" s="15">
        <f>IF(COLUMN()&lt;14,Assumptions!$B$110,Assumptions!$B$111)</f>
        <v/>
      </c>
      <c r="W21" s="15">
        <f>IF(COLUMN()&lt;14,Assumptions!$B$110,Assumptions!$B$111)</f>
        <v/>
      </c>
      <c r="X21" s="15">
        <f>IF(COLUMN()&lt;14,Assumptions!$B$110,Assumptions!$B$111)</f>
        <v/>
      </c>
      <c r="Y21" s="15">
        <f>IF(COLUMN()&lt;14,Assumptions!$B$110,Assumptions!$B$111)</f>
        <v/>
      </c>
    </row>
    <row r="22">
      <c r="A22" s="3" t="inlineStr">
        <is>
          <t xml:space="preserve">    DFS Regulatory — Canada</t>
        </is>
      </c>
      <c r="B22" s="15">
        <f>IF('User Growth'!B20&gt;=Assumptions!$B$114,Assumptions!$B$115+Assumptions!$B$116+Assumptions!$B$117+Assumptions!$B$118,0)</f>
        <v/>
      </c>
      <c r="C22" s="15">
        <f>IF('User Growth'!C20&gt;=Assumptions!$B$114,Assumptions!$B$115+Assumptions!$B$116+Assumptions!$B$117+Assumptions!$B$118,0)</f>
        <v/>
      </c>
      <c r="D22" s="15">
        <f>IF('User Growth'!D20&gt;=Assumptions!$B$114,Assumptions!$B$115+Assumptions!$B$116+Assumptions!$B$117+Assumptions!$B$118,0)</f>
        <v/>
      </c>
      <c r="E22" s="15">
        <f>IF('User Growth'!E20&gt;=Assumptions!$B$114,Assumptions!$B$115+Assumptions!$B$116+Assumptions!$B$117+Assumptions!$B$118,0)</f>
        <v/>
      </c>
      <c r="F22" s="15">
        <f>IF('User Growth'!F20&gt;=Assumptions!$B$114,Assumptions!$B$115+Assumptions!$B$116+Assumptions!$B$117+Assumptions!$B$118,0)</f>
        <v/>
      </c>
      <c r="G22" s="15">
        <f>IF('User Growth'!G20&gt;=Assumptions!$B$114,Assumptions!$B$115+Assumptions!$B$116+Assumptions!$B$117+Assumptions!$B$118,0)</f>
        <v/>
      </c>
      <c r="H22" s="15">
        <f>IF('User Growth'!H20&gt;=Assumptions!$B$114,Assumptions!$B$115+Assumptions!$B$116+Assumptions!$B$117+Assumptions!$B$118,0)</f>
        <v/>
      </c>
      <c r="I22" s="15">
        <f>IF('User Growth'!I20&gt;=Assumptions!$B$114,Assumptions!$B$115+Assumptions!$B$116+Assumptions!$B$117+Assumptions!$B$118,0)</f>
        <v/>
      </c>
      <c r="J22" s="15">
        <f>IF('User Growth'!J20&gt;=Assumptions!$B$114,Assumptions!$B$115+Assumptions!$B$116+Assumptions!$B$117+Assumptions!$B$118,0)</f>
        <v/>
      </c>
      <c r="K22" s="15">
        <f>IF('User Growth'!K20&gt;=Assumptions!$B$114,Assumptions!$B$115+Assumptions!$B$116+Assumptions!$B$117+Assumptions!$B$118,0)</f>
        <v/>
      </c>
      <c r="L22" s="15">
        <f>IF('User Growth'!L20&gt;=Assumptions!$B$114,Assumptions!$B$115+Assumptions!$B$116+Assumptions!$B$117+Assumptions!$B$118,0)</f>
        <v/>
      </c>
      <c r="M22" s="15">
        <f>IF('User Growth'!M20&gt;=Assumptions!$B$114,Assumptions!$B$115+Assumptions!$B$116+Assumptions!$B$117+Assumptions!$B$118,0)</f>
        <v/>
      </c>
      <c r="N22" s="15">
        <f>IF('User Growth'!N20&gt;=Assumptions!$B$114,Assumptions!$B$115+Assumptions!$B$116+Assumptions!$B$117+Assumptions!$B$118,0)</f>
        <v/>
      </c>
      <c r="O22" s="15">
        <f>IF('User Growth'!O20&gt;=Assumptions!$B$114,Assumptions!$B$115+Assumptions!$B$116+Assumptions!$B$117+Assumptions!$B$118,0)</f>
        <v/>
      </c>
      <c r="P22" s="15">
        <f>IF('User Growth'!P20&gt;=Assumptions!$B$114,Assumptions!$B$115+Assumptions!$B$116+Assumptions!$B$117+Assumptions!$B$118,0)</f>
        <v/>
      </c>
      <c r="Q22" s="15">
        <f>IF('User Growth'!Q20&gt;=Assumptions!$B$114,Assumptions!$B$115+Assumptions!$B$116+Assumptions!$B$117+Assumptions!$B$118,0)</f>
        <v/>
      </c>
      <c r="R22" s="15">
        <f>IF('User Growth'!R20&gt;=Assumptions!$B$114,Assumptions!$B$115+Assumptions!$B$116+Assumptions!$B$117+Assumptions!$B$118,0)</f>
        <v/>
      </c>
      <c r="S22" s="15">
        <f>IF('User Growth'!S20&gt;=Assumptions!$B$114,Assumptions!$B$115+Assumptions!$B$116+Assumptions!$B$117+Assumptions!$B$118,0)</f>
        <v/>
      </c>
      <c r="T22" s="15">
        <f>IF('User Growth'!T20&gt;=Assumptions!$B$114,Assumptions!$B$115+Assumptions!$B$116+Assumptions!$B$117+Assumptions!$B$118,0)</f>
        <v/>
      </c>
      <c r="U22" s="15">
        <f>IF('User Growth'!U20&gt;=Assumptions!$B$114,Assumptions!$B$115+Assumptions!$B$116+Assumptions!$B$117+Assumptions!$B$118,0)</f>
        <v/>
      </c>
      <c r="V22" s="15">
        <f>IF('User Growth'!V20&gt;=Assumptions!$B$114,Assumptions!$B$115+Assumptions!$B$116+Assumptions!$B$117+Assumptions!$B$118,0)</f>
        <v/>
      </c>
      <c r="W22" s="15">
        <f>IF('User Growth'!W20&gt;=Assumptions!$B$114,Assumptions!$B$115+Assumptions!$B$116+Assumptions!$B$117+Assumptions!$B$118,0)</f>
        <v/>
      </c>
      <c r="X22" s="15">
        <f>IF('User Growth'!X20&gt;=Assumptions!$B$114,Assumptions!$B$115+Assumptions!$B$116+Assumptions!$B$117+Assumptions!$B$118,0)</f>
        <v/>
      </c>
      <c r="Y22" s="15">
        <f>IF('User Growth'!Y20&gt;=Assumptions!$B$114,Assumptions!$B$115+Assumptions!$B$116+Assumptions!$B$117+Assumptions!$B$118,0)</f>
        <v/>
      </c>
    </row>
    <row r="23">
      <c r="A23" s="3" t="inlineStr">
        <is>
          <t xml:space="preserve">    US DFS Licensing (State-by-State)</t>
        </is>
      </c>
      <c r="B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C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D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E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F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G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H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I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J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K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L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M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N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O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P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Q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R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S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T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U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V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W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X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  <c r="Y23" s="15">
        <f>IF(COLUMN()-2&gt;=Assumptions!$B$121,IF(COLUMN()-2-Assumptions!$B$121&lt;12,Assumptions!$B$124/12+Assumptions!$B$126/12+Assumptions!$B$128/12+Assumptions!$B$130/12+Assumptions!$B$132/12+Assumptions!$B$134/12+Assumptions!$B$136/12+Assumptions!$B$138/12+Assumptions!$B$140/12+Assumptions!$B$142/12+Assumptions!$B$144/12+Assumptions!$B$146/12+Assumptions!$B$148/12+Assumptions!$B$150/12+Assumptions!$B$152/12+Assumptions!$B$154/12+Assumptions!$B$156/12+Assumptions!$B$158/12+Assumptions!$B$160/12,Assumptions!$B$125/12+Assumptions!$B$127/12+Assumptions!$B$129/12+Assumptions!$B$131/12+Assumptions!$B$133/12+Assumptions!$B$135/12+Assumptions!$B$137/12+Assumptions!$B$139/12+Assumptions!$B$141/12+Assumptions!$B$143/12+Assumptions!$B$145/12+Assumptions!$B$147/12+Assumptions!$B$149/12+Assumptions!$B$151/12+Assumptions!$B$153/12+Assumptions!$B$155/12+Assumptions!$B$157/12+Assumptions!$B$159/12+Assumptions!$B$161/12),0)</f>
        <v/>
      </c>
    </row>
    <row r="24">
      <c r="A24" s="3" t="inlineStr">
        <is>
          <t xml:space="preserve">    US DFS Compliance Overhead</t>
        </is>
      </c>
      <c r="B24" s="15">
        <f>IF(COLUMN()-2&gt;=Assumptions!$B$121,Assumptions!$B$164/12+Assumptions!$B$165/12+Assumptions!$B$166/12+Assumptions!$B$167/12+Assumptions!$B$168/12+Assumptions!$B$169/12+Revenue!B20*Assumptions!$B$171*Assumptions!$B$170,0)</f>
        <v/>
      </c>
      <c r="C24" s="15">
        <f>IF(COLUMN()-2&gt;=Assumptions!$B$121,Assumptions!$B$164/12+Assumptions!$B$165/12+Assumptions!$B$166/12+Assumptions!$B$167/12+Assumptions!$B$168/12+Assumptions!$B$169/12+Revenue!C20*Assumptions!$B$171*Assumptions!$B$170,0)</f>
        <v/>
      </c>
      <c r="D24" s="15">
        <f>IF(COLUMN()-2&gt;=Assumptions!$B$121,Assumptions!$B$164/12+Assumptions!$B$165/12+Assumptions!$B$166/12+Assumptions!$B$167/12+Assumptions!$B$168/12+Assumptions!$B$169/12+Revenue!D20*Assumptions!$B$171*Assumptions!$B$170,0)</f>
        <v/>
      </c>
      <c r="E24" s="15">
        <f>IF(COLUMN()-2&gt;=Assumptions!$B$121,Assumptions!$B$164/12+Assumptions!$B$165/12+Assumptions!$B$166/12+Assumptions!$B$167/12+Assumptions!$B$168/12+Assumptions!$B$169/12+Revenue!E20*Assumptions!$B$171*Assumptions!$B$170,0)</f>
        <v/>
      </c>
      <c r="F24" s="15">
        <f>IF(COLUMN()-2&gt;=Assumptions!$B$121,Assumptions!$B$164/12+Assumptions!$B$165/12+Assumptions!$B$166/12+Assumptions!$B$167/12+Assumptions!$B$168/12+Assumptions!$B$169/12+Revenue!F20*Assumptions!$B$171*Assumptions!$B$170,0)</f>
        <v/>
      </c>
      <c r="G24" s="15">
        <f>IF(COLUMN()-2&gt;=Assumptions!$B$121,Assumptions!$B$164/12+Assumptions!$B$165/12+Assumptions!$B$166/12+Assumptions!$B$167/12+Assumptions!$B$168/12+Assumptions!$B$169/12+Revenue!G20*Assumptions!$B$171*Assumptions!$B$170,0)</f>
        <v/>
      </c>
      <c r="H24" s="15">
        <f>IF(COLUMN()-2&gt;=Assumptions!$B$121,Assumptions!$B$164/12+Assumptions!$B$165/12+Assumptions!$B$166/12+Assumptions!$B$167/12+Assumptions!$B$168/12+Assumptions!$B$169/12+Revenue!H20*Assumptions!$B$171*Assumptions!$B$170,0)</f>
        <v/>
      </c>
      <c r="I24" s="15">
        <f>IF(COLUMN()-2&gt;=Assumptions!$B$121,Assumptions!$B$164/12+Assumptions!$B$165/12+Assumptions!$B$166/12+Assumptions!$B$167/12+Assumptions!$B$168/12+Assumptions!$B$169/12+Revenue!I20*Assumptions!$B$171*Assumptions!$B$170,0)</f>
        <v/>
      </c>
      <c r="J24" s="15">
        <f>IF(COLUMN()-2&gt;=Assumptions!$B$121,Assumptions!$B$164/12+Assumptions!$B$165/12+Assumptions!$B$166/12+Assumptions!$B$167/12+Assumptions!$B$168/12+Assumptions!$B$169/12+Revenue!J20*Assumptions!$B$171*Assumptions!$B$170,0)</f>
        <v/>
      </c>
      <c r="K24" s="15">
        <f>IF(COLUMN()-2&gt;=Assumptions!$B$121,Assumptions!$B$164/12+Assumptions!$B$165/12+Assumptions!$B$166/12+Assumptions!$B$167/12+Assumptions!$B$168/12+Assumptions!$B$169/12+Revenue!K20*Assumptions!$B$171*Assumptions!$B$170,0)</f>
        <v/>
      </c>
      <c r="L24" s="15">
        <f>IF(COLUMN()-2&gt;=Assumptions!$B$121,Assumptions!$B$164/12+Assumptions!$B$165/12+Assumptions!$B$166/12+Assumptions!$B$167/12+Assumptions!$B$168/12+Assumptions!$B$169/12+Revenue!L20*Assumptions!$B$171*Assumptions!$B$170,0)</f>
        <v/>
      </c>
      <c r="M24" s="15">
        <f>IF(COLUMN()-2&gt;=Assumptions!$B$121,Assumptions!$B$164/12+Assumptions!$B$165/12+Assumptions!$B$166/12+Assumptions!$B$167/12+Assumptions!$B$168/12+Assumptions!$B$169/12+Revenue!M20*Assumptions!$B$171*Assumptions!$B$170,0)</f>
        <v/>
      </c>
      <c r="N24" s="15">
        <f>IF(COLUMN()-2&gt;=Assumptions!$B$121,Assumptions!$B$164/12+Assumptions!$B$165/12+Assumptions!$B$166/12+Assumptions!$B$167/12+Assumptions!$B$168/12+Assumptions!$B$169/12+Revenue!N20*Assumptions!$B$171*Assumptions!$B$170,0)</f>
        <v/>
      </c>
      <c r="O24" s="15">
        <f>IF(COLUMN()-2&gt;=Assumptions!$B$121,Assumptions!$B$164/12+Assumptions!$B$165/12+Assumptions!$B$166/12+Assumptions!$B$167/12+Assumptions!$B$168/12+Assumptions!$B$169/12+Revenue!O20*Assumptions!$B$171*Assumptions!$B$170,0)</f>
        <v/>
      </c>
      <c r="P24" s="15">
        <f>IF(COLUMN()-2&gt;=Assumptions!$B$121,Assumptions!$B$164/12+Assumptions!$B$165/12+Assumptions!$B$166/12+Assumptions!$B$167/12+Assumptions!$B$168/12+Assumptions!$B$169/12+Revenue!P20*Assumptions!$B$171*Assumptions!$B$170,0)</f>
        <v/>
      </c>
      <c r="Q24" s="15">
        <f>IF(COLUMN()-2&gt;=Assumptions!$B$121,Assumptions!$B$164/12+Assumptions!$B$165/12+Assumptions!$B$166/12+Assumptions!$B$167/12+Assumptions!$B$168/12+Assumptions!$B$169/12+Revenue!Q20*Assumptions!$B$171*Assumptions!$B$170,0)</f>
        <v/>
      </c>
      <c r="R24" s="15">
        <f>IF(COLUMN()-2&gt;=Assumptions!$B$121,Assumptions!$B$164/12+Assumptions!$B$165/12+Assumptions!$B$166/12+Assumptions!$B$167/12+Assumptions!$B$168/12+Assumptions!$B$169/12+Revenue!R20*Assumptions!$B$171*Assumptions!$B$170,0)</f>
        <v/>
      </c>
      <c r="S24" s="15">
        <f>IF(COLUMN()-2&gt;=Assumptions!$B$121,Assumptions!$B$164/12+Assumptions!$B$165/12+Assumptions!$B$166/12+Assumptions!$B$167/12+Assumptions!$B$168/12+Assumptions!$B$169/12+Revenue!S20*Assumptions!$B$171*Assumptions!$B$170,0)</f>
        <v/>
      </c>
      <c r="T24" s="15">
        <f>IF(COLUMN()-2&gt;=Assumptions!$B$121,Assumptions!$B$164/12+Assumptions!$B$165/12+Assumptions!$B$166/12+Assumptions!$B$167/12+Assumptions!$B$168/12+Assumptions!$B$169/12+Revenue!T20*Assumptions!$B$171*Assumptions!$B$170,0)</f>
        <v/>
      </c>
      <c r="U24" s="15">
        <f>IF(COLUMN()-2&gt;=Assumptions!$B$121,Assumptions!$B$164/12+Assumptions!$B$165/12+Assumptions!$B$166/12+Assumptions!$B$167/12+Assumptions!$B$168/12+Assumptions!$B$169/12+Revenue!U20*Assumptions!$B$171*Assumptions!$B$170,0)</f>
        <v/>
      </c>
      <c r="V24" s="15">
        <f>IF(COLUMN()-2&gt;=Assumptions!$B$121,Assumptions!$B$164/12+Assumptions!$B$165/12+Assumptions!$B$166/12+Assumptions!$B$167/12+Assumptions!$B$168/12+Assumptions!$B$169/12+Revenue!V20*Assumptions!$B$171*Assumptions!$B$170,0)</f>
        <v/>
      </c>
      <c r="W24" s="15">
        <f>IF(COLUMN()-2&gt;=Assumptions!$B$121,Assumptions!$B$164/12+Assumptions!$B$165/12+Assumptions!$B$166/12+Assumptions!$B$167/12+Assumptions!$B$168/12+Assumptions!$B$169/12+Revenue!W20*Assumptions!$B$171*Assumptions!$B$170,0)</f>
        <v/>
      </c>
      <c r="X24" s="15">
        <f>IF(COLUMN()-2&gt;=Assumptions!$B$121,Assumptions!$B$164/12+Assumptions!$B$165/12+Assumptions!$B$166/12+Assumptions!$B$167/12+Assumptions!$B$168/12+Assumptions!$B$169/12+Revenue!X20*Assumptions!$B$171*Assumptions!$B$170,0)</f>
        <v/>
      </c>
      <c r="Y24" s="15">
        <f>IF(COLUMN()-2&gt;=Assumptions!$B$121,Assumptions!$B$164/12+Assumptions!$B$165/12+Assumptions!$B$166/12+Assumptions!$B$167/12+Assumptions!$B$168/12+Assumptions!$B$169/12+Revenue!Y20*Assumptions!$B$171*Assumptions!$B$170,0)</f>
        <v/>
      </c>
    </row>
    <row r="25">
      <c r="A25" s="17" t="inlineStr">
        <is>
          <t xml:space="preserve">    Total US DFS Expansion</t>
        </is>
      </c>
      <c r="B25" s="18">
        <f>B23+B24</f>
        <v/>
      </c>
      <c r="C25" s="18">
        <f>C23+C24</f>
        <v/>
      </c>
      <c r="D25" s="18">
        <f>D23+D24</f>
        <v/>
      </c>
      <c r="E25" s="18">
        <f>E23+E24</f>
        <v/>
      </c>
      <c r="F25" s="18">
        <f>F23+F24</f>
        <v/>
      </c>
      <c r="G25" s="18">
        <f>G23+G24</f>
        <v/>
      </c>
      <c r="H25" s="18">
        <f>H23+H24</f>
        <v/>
      </c>
      <c r="I25" s="18">
        <f>I23+I24</f>
        <v/>
      </c>
      <c r="J25" s="18">
        <f>J23+J24</f>
        <v/>
      </c>
      <c r="K25" s="18">
        <f>K23+K24</f>
        <v/>
      </c>
      <c r="L25" s="18">
        <f>L23+L24</f>
        <v/>
      </c>
      <c r="M25" s="18">
        <f>M23+M24</f>
        <v/>
      </c>
      <c r="N25" s="18">
        <f>N23+N24</f>
        <v/>
      </c>
      <c r="O25" s="18">
        <f>O23+O24</f>
        <v/>
      </c>
      <c r="P25" s="18">
        <f>P23+P24</f>
        <v/>
      </c>
      <c r="Q25" s="18">
        <f>Q23+Q24</f>
        <v/>
      </c>
      <c r="R25" s="18">
        <f>R23+R24</f>
        <v/>
      </c>
      <c r="S25" s="18">
        <f>S23+S24</f>
        <v/>
      </c>
      <c r="T25" s="18">
        <f>T23+T24</f>
        <v/>
      </c>
      <c r="U25" s="18">
        <f>U23+U24</f>
        <v/>
      </c>
      <c r="V25" s="18">
        <f>V23+V24</f>
        <v/>
      </c>
      <c r="W25" s="18">
        <f>W23+W24</f>
        <v/>
      </c>
      <c r="X25" s="18">
        <f>X23+X24</f>
        <v/>
      </c>
      <c r="Y25" s="18">
        <f>Y23+Y24</f>
        <v/>
      </c>
    </row>
    <row r="26">
      <c r="A26" s="3" t="inlineStr">
        <is>
          <t xml:space="preserve">    Apple Developer Program</t>
        </is>
      </c>
      <c r="B26" s="19">
        <f>Assumptions!$B$70/12</f>
        <v/>
      </c>
      <c r="C26" s="19">
        <f>Assumptions!$B$70/12</f>
        <v/>
      </c>
      <c r="D26" s="19">
        <f>Assumptions!$B$70/12</f>
        <v/>
      </c>
      <c r="E26" s="19">
        <f>Assumptions!$B$70/12</f>
        <v/>
      </c>
      <c r="F26" s="19">
        <f>Assumptions!$B$70/12</f>
        <v/>
      </c>
      <c r="G26" s="19">
        <f>Assumptions!$B$70/12</f>
        <v/>
      </c>
      <c r="H26" s="19">
        <f>Assumptions!$B$70/12</f>
        <v/>
      </c>
      <c r="I26" s="19">
        <f>Assumptions!$B$70/12</f>
        <v/>
      </c>
      <c r="J26" s="19">
        <f>Assumptions!$B$70/12</f>
        <v/>
      </c>
      <c r="K26" s="19">
        <f>Assumptions!$B$70/12</f>
        <v/>
      </c>
      <c r="L26" s="19">
        <f>Assumptions!$B$70/12</f>
        <v/>
      </c>
      <c r="M26" s="19">
        <f>Assumptions!$B$70/12</f>
        <v/>
      </c>
      <c r="N26" s="19">
        <f>Assumptions!$B$70/12</f>
        <v/>
      </c>
      <c r="O26" s="19">
        <f>Assumptions!$B$70/12</f>
        <v/>
      </c>
      <c r="P26" s="19">
        <f>Assumptions!$B$70/12</f>
        <v/>
      </c>
      <c r="Q26" s="19">
        <f>Assumptions!$B$70/12</f>
        <v/>
      </c>
      <c r="R26" s="19">
        <f>Assumptions!$B$70/12</f>
        <v/>
      </c>
      <c r="S26" s="19">
        <f>Assumptions!$B$70/12</f>
        <v/>
      </c>
      <c r="T26" s="19">
        <f>Assumptions!$B$70/12</f>
        <v/>
      </c>
      <c r="U26" s="19">
        <f>Assumptions!$B$70/12</f>
        <v/>
      </c>
      <c r="V26" s="19">
        <f>Assumptions!$B$70/12</f>
        <v/>
      </c>
      <c r="W26" s="19">
        <f>Assumptions!$B$70/12</f>
        <v/>
      </c>
      <c r="X26" s="19">
        <f>Assumptions!$B$70/12</f>
        <v/>
      </c>
      <c r="Y26" s="19">
        <f>Assumptions!$B$70/12</f>
        <v/>
      </c>
    </row>
    <row r="27">
      <c r="A27" s="3" t="inlineStr">
        <is>
          <t xml:space="preserve">    Google Play Registration</t>
        </is>
      </c>
      <c r="B27" s="15">
        <f>IF(COLUMN()=2,Assumptions!$B$71,0)</f>
        <v/>
      </c>
      <c r="C27" s="15">
        <f>IF(COLUMN()=2,Assumptions!$B$71,0)</f>
        <v/>
      </c>
      <c r="D27" s="15">
        <f>IF(COLUMN()=2,Assumptions!$B$71,0)</f>
        <v/>
      </c>
      <c r="E27" s="15">
        <f>IF(COLUMN()=2,Assumptions!$B$71,0)</f>
        <v/>
      </c>
      <c r="F27" s="15">
        <f>IF(COLUMN()=2,Assumptions!$B$71,0)</f>
        <v/>
      </c>
      <c r="G27" s="15">
        <f>IF(COLUMN()=2,Assumptions!$B$71,0)</f>
        <v/>
      </c>
      <c r="H27" s="15">
        <f>IF(COLUMN()=2,Assumptions!$B$71,0)</f>
        <v/>
      </c>
      <c r="I27" s="15">
        <f>IF(COLUMN()=2,Assumptions!$B$71,0)</f>
        <v/>
      </c>
      <c r="J27" s="15">
        <f>IF(COLUMN()=2,Assumptions!$B$71,0)</f>
        <v/>
      </c>
      <c r="K27" s="15">
        <f>IF(COLUMN()=2,Assumptions!$B$71,0)</f>
        <v/>
      </c>
      <c r="L27" s="15">
        <f>IF(COLUMN()=2,Assumptions!$B$71,0)</f>
        <v/>
      </c>
      <c r="M27" s="15">
        <f>IF(COLUMN()=2,Assumptions!$B$71,0)</f>
        <v/>
      </c>
      <c r="N27" s="15">
        <f>IF(COLUMN()=2,Assumptions!$B$71,0)</f>
        <v/>
      </c>
      <c r="O27" s="15">
        <f>IF(COLUMN()=2,Assumptions!$B$71,0)</f>
        <v/>
      </c>
      <c r="P27" s="15">
        <f>IF(COLUMN()=2,Assumptions!$B$71,0)</f>
        <v/>
      </c>
      <c r="Q27" s="15">
        <f>IF(COLUMN()=2,Assumptions!$B$71,0)</f>
        <v/>
      </c>
      <c r="R27" s="15">
        <f>IF(COLUMN()=2,Assumptions!$B$71,0)</f>
        <v/>
      </c>
      <c r="S27" s="15">
        <f>IF(COLUMN()=2,Assumptions!$B$71,0)</f>
        <v/>
      </c>
      <c r="T27" s="15">
        <f>IF(COLUMN()=2,Assumptions!$B$71,0)</f>
        <v/>
      </c>
      <c r="U27" s="15">
        <f>IF(COLUMN()=2,Assumptions!$B$71,0)</f>
        <v/>
      </c>
      <c r="V27" s="15">
        <f>IF(COLUMN()=2,Assumptions!$B$71,0)</f>
        <v/>
      </c>
      <c r="W27" s="15">
        <f>IF(COLUMN()=2,Assumptions!$B$71,0)</f>
        <v/>
      </c>
      <c r="X27" s="15">
        <f>IF(COLUMN()=2,Assumptions!$B$71,0)</f>
        <v/>
      </c>
      <c r="Y27" s="15">
        <f>IF(COLUMN()=2,Assumptions!$B$71,0)</f>
        <v/>
      </c>
    </row>
    <row r="28">
      <c r="A28" s="17" t="inlineStr">
        <is>
          <t xml:space="preserve">    Total G&amp;A</t>
        </is>
      </c>
      <c r="B28" s="18">
        <f>B20+B21+B22+B25+B26+B27</f>
        <v/>
      </c>
      <c r="C28" s="18">
        <f>C20+C21+C22+C25+C26+C27</f>
        <v/>
      </c>
      <c r="D28" s="18">
        <f>D20+D21+D22+D25+D26+D27</f>
        <v/>
      </c>
      <c r="E28" s="18">
        <f>E20+E21+E22+E25+E26+E27</f>
        <v/>
      </c>
      <c r="F28" s="18">
        <f>F20+F21+F22+F25+F26+F27</f>
        <v/>
      </c>
      <c r="G28" s="18">
        <f>G20+G21+G22+G25+G26+G27</f>
        <v/>
      </c>
      <c r="H28" s="18">
        <f>H20+H21+H22+H25+H26+H27</f>
        <v/>
      </c>
      <c r="I28" s="18">
        <f>I20+I21+I22+I25+I26+I27</f>
        <v/>
      </c>
      <c r="J28" s="18">
        <f>J20+J21+J22+J25+J26+J27</f>
        <v/>
      </c>
      <c r="K28" s="18">
        <f>K20+K21+K22+K25+K26+K27</f>
        <v/>
      </c>
      <c r="L28" s="18">
        <f>L20+L21+L22+L25+L26+L27</f>
        <v/>
      </c>
      <c r="M28" s="18">
        <f>M20+M21+M22+M25+M26+M27</f>
        <v/>
      </c>
      <c r="N28" s="18">
        <f>N20+N21+N22+N25+N26+N27</f>
        <v/>
      </c>
      <c r="O28" s="18">
        <f>O20+O21+O22+O25+O26+O27</f>
        <v/>
      </c>
      <c r="P28" s="18">
        <f>P20+P21+P22+P25+P26+P27</f>
        <v/>
      </c>
      <c r="Q28" s="18">
        <f>Q20+Q21+Q22+Q25+Q26+Q27</f>
        <v/>
      </c>
      <c r="R28" s="18">
        <f>R20+R21+R22+R25+R26+R27</f>
        <v/>
      </c>
      <c r="S28" s="18">
        <f>S20+S21+S22+S25+S26+S27</f>
        <v/>
      </c>
      <c r="T28" s="18">
        <f>T20+T21+T22+T25+T26+T27</f>
        <v/>
      </c>
      <c r="U28" s="18">
        <f>U20+U21+U22+U25+U26+U27</f>
        <v/>
      </c>
      <c r="V28" s="18">
        <f>V20+V21+V22+V25+V26+V27</f>
        <v/>
      </c>
      <c r="W28" s="18">
        <f>W20+W21+W22+W25+W26+W27</f>
        <v/>
      </c>
      <c r="X28" s="18">
        <f>X20+X21+X22+X25+X26+X27</f>
        <v/>
      </c>
      <c r="Y28" s="18">
        <f>Y20+Y21+Y22+Y25+Y26+Y27</f>
        <v/>
      </c>
    </row>
    <row r="30">
      <c r="A30" s="2" t="inlineStr">
        <is>
          <t xml:space="preserve">  CONFERENCE &amp; TRAVEL</t>
        </is>
      </c>
    </row>
    <row r="31">
      <c r="A31" s="12" t="inlineStr">
        <is>
          <t xml:space="preserve">    Conference Costs</t>
        </is>
      </c>
      <c r="B31" s="20" t="n">
        <v>750</v>
      </c>
      <c r="C31" s="20" t="n">
        <v>0</v>
      </c>
      <c r="D31" s="20" t="n">
        <v>0</v>
      </c>
      <c r="E31" s="20" t="n">
        <v>4500</v>
      </c>
      <c r="F31" s="20" t="n">
        <v>0</v>
      </c>
      <c r="G31" s="20" t="n">
        <v>3500</v>
      </c>
      <c r="H31" s="20" t="n">
        <v>0</v>
      </c>
      <c r="I31" s="20" t="n">
        <v>5000</v>
      </c>
      <c r="J31" s="20" t="n">
        <v>0</v>
      </c>
      <c r="K31" s="20" t="n">
        <v>0</v>
      </c>
      <c r="L31" s="20" t="n">
        <v>4000</v>
      </c>
      <c r="M31" s="20" t="n">
        <v>5000</v>
      </c>
      <c r="N31" s="20" t="n">
        <v>500</v>
      </c>
      <c r="O31" s="20" t="n">
        <v>0</v>
      </c>
      <c r="P31" s="20" t="n">
        <v>6000</v>
      </c>
      <c r="Q31" s="20" t="n">
        <v>6000</v>
      </c>
      <c r="R31" s="20" t="n">
        <v>0</v>
      </c>
      <c r="S31" s="20" t="n">
        <v>5000</v>
      </c>
      <c r="T31" s="20" t="n">
        <v>0</v>
      </c>
      <c r="U31" s="20" t="n">
        <v>8000</v>
      </c>
      <c r="V31" s="20" t="n">
        <v>0</v>
      </c>
      <c r="W31" s="20" t="n">
        <v>0</v>
      </c>
      <c r="X31" s="20" t="n">
        <v>5000</v>
      </c>
      <c r="Y31" s="20" t="n">
        <v>6000</v>
      </c>
    </row>
    <row r="32">
      <c r="A32" s="17" t="inlineStr">
        <is>
          <t xml:space="preserve">    Total Conference &amp; Travel</t>
        </is>
      </c>
      <c r="B32" s="18">
        <f>B31</f>
        <v/>
      </c>
      <c r="C32" s="18">
        <f>C31</f>
        <v/>
      </c>
      <c r="D32" s="18">
        <f>D31</f>
        <v/>
      </c>
      <c r="E32" s="18">
        <f>E31</f>
        <v/>
      </c>
      <c r="F32" s="18">
        <f>F31</f>
        <v/>
      </c>
      <c r="G32" s="18">
        <f>G31</f>
        <v/>
      </c>
      <c r="H32" s="18">
        <f>H31</f>
        <v/>
      </c>
      <c r="I32" s="18">
        <f>I31</f>
        <v/>
      </c>
      <c r="J32" s="18">
        <f>J31</f>
        <v/>
      </c>
      <c r="K32" s="18">
        <f>K31</f>
        <v/>
      </c>
      <c r="L32" s="18">
        <f>L31</f>
        <v/>
      </c>
      <c r="M32" s="18">
        <f>M31</f>
        <v/>
      </c>
      <c r="N32" s="18">
        <f>N31</f>
        <v/>
      </c>
      <c r="O32" s="18">
        <f>O31</f>
        <v/>
      </c>
      <c r="P32" s="18">
        <f>P31</f>
        <v/>
      </c>
      <c r="Q32" s="18">
        <f>Q31</f>
        <v/>
      </c>
      <c r="R32" s="18">
        <f>R31</f>
        <v/>
      </c>
      <c r="S32" s="18">
        <f>S31</f>
        <v/>
      </c>
      <c r="T32" s="18">
        <f>T31</f>
        <v/>
      </c>
      <c r="U32" s="18">
        <f>U31</f>
        <v/>
      </c>
      <c r="V32" s="18">
        <f>V31</f>
        <v/>
      </c>
      <c r="W32" s="18">
        <f>W31</f>
        <v/>
      </c>
      <c r="X32" s="18">
        <f>X31</f>
        <v/>
      </c>
      <c r="Y32" s="18">
        <f>Y31</f>
        <v/>
      </c>
    </row>
    <row r="34">
      <c r="A34" s="17" t="inlineStr">
        <is>
          <t xml:space="preserve">  TOTAL OPEX</t>
        </is>
      </c>
      <c r="B34" s="18">
        <f>B17+B28+B32</f>
        <v/>
      </c>
      <c r="C34" s="18">
        <f>C17+C28+C32</f>
        <v/>
      </c>
      <c r="D34" s="18">
        <f>D17+D28+D32</f>
        <v/>
      </c>
      <c r="E34" s="18">
        <f>E17+E28+E32</f>
        <v/>
      </c>
      <c r="F34" s="18">
        <f>F17+F28+F32</f>
        <v/>
      </c>
      <c r="G34" s="18">
        <f>G17+G28+G32</f>
        <v/>
      </c>
      <c r="H34" s="18">
        <f>H17+H28+H32</f>
        <v/>
      </c>
      <c r="I34" s="18">
        <f>I17+I28+I32</f>
        <v/>
      </c>
      <c r="J34" s="18">
        <f>J17+J28+J32</f>
        <v/>
      </c>
      <c r="K34" s="18">
        <f>K17+K28+K32</f>
        <v/>
      </c>
      <c r="L34" s="18">
        <f>L17+L28+L32</f>
        <v/>
      </c>
      <c r="M34" s="18">
        <f>M17+M28+M32</f>
        <v/>
      </c>
      <c r="N34" s="18">
        <f>N17+N28+N32</f>
        <v/>
      </c>
      <c r="O34" s="18">
        <f>O17+O28+O32</f>
        <v/>
      </c>
      <c r="P34" s="18">
        <f>P17+P28+P32</f>
        <v/>
      </c>
      <c r="Q34" s="18">
        <f>Q17+Q28+Q32</f>
        <v/>
      </c>
      <c r="R34" s="18">
        <f>R17+R28+R32</f>
        <v/>
      </c>
      <c r="S34" s="18">
        <f>S17+S28+S32</f>
        <v/>
      </c>
      <c r="T34" s="18">
        <f>T17+T28+T32</f>
        <v/>
      </c>
      <c r="U34" s="18">
        <f>U17+U28+U32</f>
        <v/>
      </c>
      <c r="V34" s="18">
        <f>V17+V28+V32</f>
        <v/>
      </c>
      <c r="W34" s="18">
        <f>W17+W28+W32</f>
        <v/>
      </c>
      <c r="X34" s="18">
        <f>X17+X28+X32</f>
        <v/>
      </c>
      <c r="Y34" s="18">
        <f>Y17+Y28+Y32</f>
        <v/>
      </c>
    </row>
    <row r="36">
      <c r="A36" s="17" t="inlineStr">
        <is>
          <t>EBITDA</t>
        </is>
      </c>
      <c r="B36" s="18">
        <f>B10-B34</f>
        <v/>
      </c>
      <c r="C36" s="18">
        <f>C10-C34</f>
        <v/>
      </c>
      <c r="D36" s="18">
        <f>D10-D34</f>
        <v/>
      </c>
      <c r="E36" s="18">
        <f>E10-E34</f>
        <v/>
      </c>
      <c r="F36" s="18">
        <f>F10-F34</f>
        <v/>
      </c>
      <c r="G36" s="18">
        <f>G10-G34</f>
        <v/>
      </c>
      <c r="H36" s="18">
        <f>H10-H34</f>
        <v/>
      </c>
      <c r="I36" s="18">
        <f>I10-I34</f>
        <v/>
      </c>
      <c r="J36" s="18">
        <f>J10-J34</f>
        <v/>
      </c>
      <c r="K36" s="18">
        <f>K10-K34</f>
        <v/>
      </c>
      <c r="L36" s="18">
        <f>L10-L34</f>
        <v/>
      </c>
      <c r="M36" s="18">
        <f>M10-M34</f>
        <v/>
      </c>
      <c r="N36" s="18">
        <f>N10-N34</f>
        <v/>
      </c>
      <c r="O36" s="18">
        <f>O10-O34</f>
        <v/>
      </c>
      <c r="P36" s="18">
        <f>P10-P34</f>
        <v/>
      </c>
      <c r="Q36" s="18">
        <f>Q10-Q34</f>
        <v/>
      </c>
      <c r="R36" s="18">
        <f>R10-R34</f>
        <v/>
      </c>
      <c r="S36" s="18">
        <f>S10-S34</f>
        <v/>
      </c>
      <c r="T36" s="18">
        <f>T10-T34</f>
        <v/>
      </c>
      <c r="U36" s="18">
        <f>U10-U34</f>
        <v/>
      </c>
      <c r="V36" s="18">
        <f>V10-V34</f>
        <v/>
      </c>
      <c r="W36" s="18">
        <f>W10-W34</f>
        <v/>
      </c>
      <c r="X36" s="18">
        <f>X10-X34</f>
        <v/>
      </c>
      <c r="Y36" s="18">
        <f>Y10-Y34</f>
        <v/>
      </c>
    </row>
    <row r="37">
      <c r="A37" s="3" t="inlineStr">
        <is>
          <t>EBITDA MARGIN %</t>
        </is>
      </c>
      <c r="B37" s="16">
        <f>IF(Revenue!B35&lt;&gt;0,B36/Revenue!B35,0)</f>
        <v/>
      </c>
      <c r="C37" s="16">
        <f>IF(Revenue!C35&lt;&gt;0,C36/Revenue!C35,0)</f>
        <v/>
      </c>
      <c r="D37" s="16">
        <f>IF(Revenue!D35&lt;&gt;0,D36/Revenue!D35,0)</f>
        <v/>
      </c>
      <c r="E37" s="16">
        <f>IF(Revenue!E35&lt;&gt;0,E36/Revenue!E35,0)</f>
        <v/>
      </c>
      <c r="F37" s="16">
        <f>IF(Revenue!F35&lt;&gt;0,F36/Revenue!F35,0)</f>
        <v/>
      </c>
      <c r="G37" s="16">
        <f>IF(Revenue!G35&lt;&gt;0,G36/Revenue!G35,0)</f>
        <v/>
      </c>
      <c r="H37" s="16">
        <f>IF(Revenue!H35&lt;&gt;0,H36/Revenue!H35,0)</f>
        <v/>
      </c>
      <c r="I37" s="16">
        <f>IF(Revenue!I35&lt;&gt;0,I36/Revenue!I35,0)</f>
        <v/>
      </c>
      <c r="J37" s="16">
        <f>IF(Revenue!J35&lt;&gt;0,J36/Revenue!J35,0)</f>
        <v/>
      </c>
      <c r="K37" s="16">
        <f>IF(Revenue!K35&lt;&gt;0,K36/Revenue!K35,0)</f>
        <v/>
      </c>
      <c r="L37" s="16">
        <f>IF(Revenue!L35&lt;&gt;0,L36/Revenue!L35,0)</f>
        <v/>
      </c>
      <c r="M37" s="16">
        <f>IF(Revenue!M35&lt;&gt;0,M36/Revenue!M35,0)</f>
        <v/>
      </c>
      <c r="N37" s="16">
        <f>IF(Revenue!N35&lt;&gt;0,N36/Revenue!N35,0)</f>
        <v/>
      </c>
      <c r="O37" s="16">
        <f>IF(Revenue!O35&lt;&gt;0,O36/Revenue!O35,0)</f>
        <v/>
      </c>
      <c r="P37" s="16">
        <f>IF(Revenue!P35&lt;&gt;0,P36/Revenue!P35,0)</f>
        <v/>
      </c>
      <c r="Q37" s="16">
        <f>IF(Revenue!Q35&lt;&gt;0,Q36/Revenue!Q35,0)</f>
        <v/>
      </c>
      <c r="R37" s="16">
        <f>IF(Revenue!R35&lt;&gt;0,R36/Revenue!R35,0)</f>
        <v/>
      </c>
      <c r="S37" s="16">
        <f>IF(Revenue!S35&lt;&gt;0,S36/Revenue!S35,0)</f>
        <v/>
      </c>
      <c r="T37" s="16">
        <f>IF(Revenue!T35&lt;&gt;0,T36/Revenue!T35,0)</f>
        <v/>
      </c>
      <c r="U37" s="16">
        <f>IF(Revenue!U35&lt;&gt;0,U36/Revenue!U35,0)</f>
        <v/>
      </c>
      <c r="V37" s="16">
        <f>IF(Revenue!V35&lt;&gt;0,V36/Revenue!V35,0)</f>
        <v/>
      </c>
      <c r="W37" s="16">
        <f>IF(Revenue!W35&lt;&gt;0,W36/Revenue!W35,0)</f>
        <v/>
      </c>
      <c r="X37" s="16">
        <f>IF(Revenue!X35&lt;&gt;0,X36/Revenue!X35,0)</f>
        <v/>
      </c>
      <c r="Y37" s="16">
        <f>IF(Revenue!Y35&lt;&gt;0,Y36/Revenue!Y35,0)</f>
        <v/>
      </c>
    </row>
    <row r="39">
      <c r="A39" s="17" t="inlineStr">
        <is>
          <t>NET INCOME</t>
        </is>
      </c>
      <c r="B39" s="18">
        <f>B36</f>
        <v/>
      </c>
      <c r="C39" s="18">
        <f>C36</f>
        <v/>
      </c>
      <c r="D39" s="18">
        <f>D36</f>
        <v/>
      </c>
      <c r="E39" s="18">
        <f>E36</f>
        <v/>
      </c>
      <c r="F39" s="18">
        <f>F36</f>
        <v/>
      </c>
      <c r="G39" s="18">
        <f>G36</f>
        <v/>
      </c>
      <c r="H39" s="18">
        <f>H36</f>
        <v/>
      </c>
      <c r="I39" s="18">
        <f>I36</f>
        <v/>
      </c>
      <c r="J39" s="18">
        <f>J36</f>
        <v/>
      </c>
      <c r="K39" s="18">
        <f>K36</f>
        <v/>
      </c>
      <c r="L39" s="18">
        <f>L36</f>
        <v/>
      </c>
      <c r="M39" s="18">
        <f>M36</f>
        <v/>
      </c>
      <c r="N39" s="18">
        <f>N36</f>
        <v/>
      </c>
      <c r="O39" s="18">
        <f>O36</f>
        <v/>
      </c>
      <c r="P39" s="18">
        <f>P36</f>
        <v/>
      </c>
      <c r="Q39" s="18">
        <f>Q36</f>
        <v/>
      </c>
      <c r="R39" s="18">
        <f>R36</f>
        <v/>
      </c>
      <c r="S39" s="18">
        <f>S36</f>
        <v/>
      </c>
      <c r="T39" s="18">
        <f>T36</f>
        <v/>
      </c>
      <c r="U39" s="18">
        <f>U36</f>
        <v/>
      </c>
      <c r="V39" s="18">
        <f>V36</f>
        <v/>
      </c>
      <c r="W39" s="18">
        <f>W36</f>
        <v/>
      </c>
      <c r="X39" s="18">
        <f>X36</f>
        <v/>
      </c>
      <c r="Y39" s="18">
        <f>Y36</f>
        <v/>
      </c>
    </row>
  </sheetData>
  <conditionalFormatting sqref="B10:Y10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B36:Y36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B39:Y39">
    <cfRule type="cellIs" priority="5" operator="greaterThan" dxfId="1">
      <formula>0</formula>
    </cfRule>
    <cfRule type="cellIs" priority="6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Metric</t>
        </is>
      </c>
      <c r="B1" s="1" t="inlineStr">
        <is>
          <t>Apr-26</t>
        </is>
      </c>
      <c r="C1" s="1" t="inlineStr">
        <is>
          <t>May-26</t>
        </is>
      </c>
      <c r="D1" s="1" t="inlineStr">
        <is>
          <t>Jun-26</t>
        </is>
      </c>
      <c r="E1" s="1" t="inlineStr">
        <is>
          <t>Jul-26</t>
        </is>
      </c>
      <c r="F1" s="1" t="inlineStr">
        <is>
          <t>Aug-26</t>
        </is>
      </c>
      <c r="G1" s="1" t="inlineStr">
        <is>
          <t>Sep-26</t>
        </is>
      </c>
      <c r="H1" s="1" t="inlineStr">
        <is>
          <t>Oct-26</t>
        </is>
      </c>
      <c r="I1" s="1" t="inlineStr">
        <is>
          <t>Nov-26</t>
        </is>
      </c>
      <c r="J1" s="1" t="inlineStr">
        <is>
          <t>Dec-26</t>
        </is>
      </c>
      <c r="K1" s="1" t="inlineStr">
        <is>
          <t>Jan-27</t>
        </is>
      </c>
      <c r="L1" s="1" t="inlineStr">
        <is>
          <t>Feb-27</t>
        </is>
      </c>
      <c r="M1" s="1" t="inlineStr">
        <is>
          <t>Mar-27</t>
        </is>
      </c>
      <c r="N1" s="1" t="inlineStr">
        <is>
          <t>Apr-27</t>
        </is>
      </c>
      <c r="O1" s="1" t="inlineStr">
        <is>
          <t>May-27</t>
        </is>
      </c>
      <c r="P1" s="1" t="inlineStr">
        <is>
          <t>Jun-27</t>
        </is>
      </c>
      <c r="Q1" s="1" t="inlineStr">
        <is>
          <t>Jul-27</t>
        </is>
      </c>
      <c r="R1" s="1" t="inlineStr">
        <is>
          <t>Aug-27</t>
        </is>
      </c>
      <c r="S1" s="1" t="inlineStr">
        <is>
          <t>Sep-27</t>
        </is>
      </c>
      <c r="T1" s="1" t="inlineStr">
        <is>
          <t>Oct-27</t>
        </is>
      </c>
      <c r="U1" s="1" t="inlineStr">
        <is>
          <t>Nov-27</t>
        </is>
      </c>
      <c r="V1" s="1" t="inlineStr">
        <is>
          <t>Dec-27</t>
        </is>
      </c>
      <c r="W1" s="1" t="inlineStr">
        <is>
          <t>Jan-28</t>
        </is>
      </c>
      <c r="X1" s="1" t="inlineStr">
        <is>
          <t>Feb-28</t>
        </is>
      </c>
      <c r="Y1" s="1" t="inlineStr">
        <is>
          <t>Mar-28</t>
        </is>
      </c>
    </row>
    <row r="2">
      <c r="A2" s="3" t="inlineStr">
        <is>
          <t>ARPU (Total) — Net Rev / Users</t>
        </is>
      </c>
      <c r="B2" s="19">
        <f>IF('User Growth'!B20&gt;0,Revenue!B35/'User Growth'!B20,0)</f>
        <v/>
      </c>
      <c r="C2" s="19">
        <f>IF('User Growth'!C20&gt;0,Revenue!C35/'User Growth'!C20,0)</f>
        <v/>
      </c>
      <c r="D2" s="19">
        <f>IF('User Growth'!D20&gt;0,Revenue!D35/'User Growth'!D20,0)</f>
        <v/>
      </c>
      <c r="E2" s="19">
        <f>IF('User Growth'!E20&gt;0,Revenue!E35/'User Growth'!E20,0)</f>
        <v/>
      </c>
      <c r="F2" s="19">
        <f>IF('User Growth'!F20&gt;0,Revenue!F35/'User Growth'!F20,0)</f>
        <v/>
      </c>
      <c r="G2" s="19">
        <f>IF('User Growth'!G20&gt;0,Revenue!G35/'User Growth'!G20,0)</f>
        <v/>
      </c>
      <c r="H2" s="19">
        <f>IF('User Growth'!H20&gt;0,Revenue!H35/'User Growth'!H20,0)</f>
        <v/>
      </c>
      <c r="I2" s="19">
        <f>IF('User Growth'!I20&gt;0,Revenue!I35/'User Growth'!I20,0)</f>
        <v/>
      </c>
      <c r="J2" s="19">
        <f>IF('User Growth'!J20&gt;0,Revenue!J35/'User Growth'!J20,0)</f>
        <v/>
      </c>
      <c r="K2" s="19">
        <f>IF('User Growth'!K20&gt;0,Revenue!K35/'User Growth'!K20,0)</f>
        <v/>
      </c>
      <c r="L2" s="19">
        <f>IF('User Growth'!L20&gt;0,Revenue!L35/'User Growth'!L20,0)</f>
        <v/>
      </c>
      <c r="M2" s="19">
        <f>IF('User Growth'!M20&gt;0,Revenue!M35/'User Growth'!M20,0)</f>
        <v/>
      </c>
      <c r="N2" s="19">
        <f>IF('User Growth'!N20&gt;0,Revenue!N35/'User Growth'!N20,0)</f>
        <v/>
      </c>
      <c r="O2" s="19">
        <f>IF('User Growth'!O20&gt;0,Revenue!O35/'User Growth'!O20,0)</f>
        <v/>
      </c>
      <c r="P2" s="19">
        <f>IF('User Growth'!P20&gt;0,Revenue!P35/'User Growth'!P20,0)</f>
        <v/>
      </c>
      <c r="Q2" s="19">
        <f>IF('User Growth'!Q20&gt;0,Revenue!Q35/'User Growth'!Q20,0)</f>
        <v/>
      </c>
      <c r="R2" s="19">
        <f>IF('User Growth'!R20&gt;0,Revenue!R35/'User Growth'!R20,0)</f>
        <v/>
      </c>
      <c r="S2" s="19">
        <f>IF('User Growth'!S20&gt;0,Revenue!S35/'User Growth'!S20,0)</f>
        <v/>
      </c>
      <c r="T2" s="19">
        <f>IF('User Growth'!T20&gt;0,Revenue!T35/'User Growth'!T20,0)</f>
        <v/>
      </c>
      <c r="U2" s="19">
        <f>IF('User Growth'!U20&gt;0,Revenue!U35/'User Growth'!U20,0)</f>
        <v/>
      </c>
      <c r="V2" s="19">
        <f>IF('User Growth'!V20&gt;0,Revenue!V35/'User Growth'!V20,0)</f>
        <v/>
      </c>
      <c r="W2" s="19">
        <f>IF('User Growth'!W20&gt;0,Revenue!W35/'User Growth'!W20,0)</f>
        <v/>
      </c>
      <c r="X2" s="19">
        <f>IF('User Growth'!X20&gt;0,Revenue!X35/'User Growth'!X20,0)</f>
        <v/>
      </c>
      <c r="Y2" s="19">
        <f>IF('User Growth'!Y20&gt;0,Revenue!Y35/'User Growth'!Y20,0)</f>
        <v/>
      </c>
    </row>
    <row r="3">
      <c r="A3" s="3" t="inlineStr">
        <is>
          <t>ARPU (Paid) — Sub Rev / Paid</t>
        </is>
      </c>
      <c r="B3" s="19">
        <f>IF(B4&gt;0,Revenue!B9/B4,0)</f>
        <v/>
      </c>
      <c r="C3" s="19">
        <f>IF(C4&gt;0,Revenue!C9/C4,0)</f>
        <v/>
      </c>
      <c r="D3" s="19">
        <f>IF(D4&gt;0,Revenue!D9/D4,0)</f>
        <v/>
      </c>
      <c r="E3" s="19">
        <f>IF(E4&gt;0,Revenue!E9/E4,0)</f>
        <v/>
      </c>
      <c r="F3" s="19">
        <f>IF(F4&gt;0,Revenue!F9/F4,0)</f>
        <v/>
      </c>
      <c r="G3" s="19">
        <f>IF(G4&gt;0,Revenue!G9/G4,0)</f>
        <v/>
      </c>
      <c r="H3" s="19">
        <f>IF(H4&gt;0,Revenue!H9/H4,0)</f>
        <v/>
      </c>
      <c r="I3" s="19">
        <f>IF(I4&gt;0,Revenue!I9/I4,0)</f>
        <v/>
      </c>
      <c r="J3" s="19">
        <f>IF(J4&gt;0,Revenue!J9/J4,0)</f>
        <v/>
      </c>
      <c r="K3" s="19">
        <f>IF(K4&gt;0,Revenue!K9/K4,0)</f>
        <v/>
      </c>
      <c r="L3" s="19">
        <f>IF(L4&gt;0,Revenue!L9/L4,0)</f>
        <v/>
      </c>
      <c r="M3" s="19">
        <f>IF(M4&gt;0,Revenue!M9/M4,0)</f>
        <v/>
      </c>
      <c r="N3" s="19">
        <f>IF(N4&gt;0,Revenue!N9/N4,0)</f>
        <v/>
      </c>
      <c r="O3" s="19">
        <f>IF(O4&gt;0,Revenue!O9/O4,0)</f>
        <v/>
      </c>
      <c r="P3" s="19">
        <f>IF(P4&gt;0,Revenue!P9/P4,0)</f>
        <v/>
      </c>
      <c r="Q3" s="19">
        <f>IF(Q4&gt;0,Revenue!Q9/Q4,0)</f>
        <v/>
      </c>
      <c r="R3" s="19">
        <f>IF(R4&gt;0,Revenue!R9/R4,0)</f>
        <v/>
      </c>
      <c r="S3" s="19">
        <f>IF(S4&gt;0,Revenue!S9/S4,0)</f>
        <v/>
      </c>
      <c r="T3" s="19">
        <f>IF(T4&gt;0,Revenue!T9/T4,0)</f>
        <v/>
      </c>
      <c r="U3" s="19">
        <f>IF(U4&gt;0,Revenue!U9/U4,0)</f>
        <v/>
      </c>
      <c r="V3" s="19">
        <f>IF(V4&gt;0,Revenue!V9/V4,0)</f>
        <v/>
      </c>
      <c r="W3" s="19">
        <f>IF(W4&gt;0,Revenue!W9/W4,0)</f>
        <v/>
      </c>
      <c r="X3" s="19">
        <f>IF(X4&gt;0,Revenue!X9/X4,0)</f>
        <v/>
      </c>
      <c r="Y3" s="19">
        <f>IF(Y4&gt;0,Revenue!Y9/Y4,0)</f>
        <v/>
      </c>
    </row>
    <row r="4">
      <c r="A4" s="3" t="inlineStr">
        <is>
          <t>Paid Subscribers</t>
        </is>
      </c>
      <c r="B4" s="15">
        <f>'User Growth'!B18+'User Growth'!B19</f>
        <v/>
      </c>
      <c r="C4" s="15">
        <f>'User Growth'!C18+'User Growth'!C19</f>
        <v/>
      </c>
      <c r="D4" s="15">
        <f>'User Growth'!D18+'User Growth'!D19</f>
        <v/>
      </c>
      <c r="E4" s="15">
        <f>'User Growth'!E18+'User Growth'!E19</f>
        <v/>
      </c>
      <c r="F4" s="15">
        <f>'User Growth'!F18+'User Growth'!F19</f>
        <v/>
      </c>
      <c r="G4" s="15">
        <f>'User Growth'!G18+'User Growth'!G19</f>
        <v/>
      </c>
      <c r="H4" s="15">
        <f>'User Growth'!H18+'User Growth'!H19</f>
        <v/>
      </c>
      <c r="I4" s="15">
        <f>'User Growth'!I18+'User Growth'!I19</f>
        <v/>
      </c>
      <c r="J4" s="15">
        <f>'User Growth'!J18+'User Growth'!J19</f>
        <v/>
      </c>
      <c r="K4" s="15">
        <f>'User Growth'!K18+'User Growth'!K19</f>
        <v/>
      </c>
      <c r="L4" s="15">
        <f>'User Growth'!L18+'User Growth'!L19</f>
        <v/>
      </c>
      <c r="M4" s="15">
        <f>'User Growth'!M18+'User Growth'!M19</f>
        <v/>
      </c>
      <c r="N4" s="15">
        <f>'User Growth'!N18+'User Growth'!N19</f>
        <v/>
      </c>
      <c r="O4" s="15">
        <f>'User Growth'!O18+'User Growth'!O19</f>
        <v/>
      </c>
      <c r="P4" s="15">
        <f>'User Growth'!P18+'User Growth'!P19</f>
        <v/>
      </c>
      <c r="Q4" s="15">
        <f>'User Growth'!Q18+'User Growth'!Q19</f>
        <v/>
      </c>
      <c r="R4" s="15">
        <f>'User Growth'!R18+'User Growth'!R19</f>
        <v/>
      </c>
      <c r="S4" s="15">
        <f>'User Growth'!S18+'User Growth'!S19</f>
        <v/>
      </c>
      <c r="T4" s="15">
        <f>'User Growth'!T18+'User Growth'!T19</f>
        <v/>
      </c>
      <c r="U4" s="15">
        <f>'User Growth'!U18+'User Growth'!U19</f>
        <v/>
      </c>
      <c r="V4" s="15">
        <f>'User Growth'!V18+'User Growth'!V19</f>
        <v/>
      </c>
      <c r="W4" s="15">
        <f>'User Growth'!W18+'User Growth'!W19</f>
        <v/>
      </c>
      <c r="X4" s="15">
        <f>'User Growth'!X18+'User Growth'!X19</f>
        <v/>
      </c>
      <c r="Y4" s="15">
        <f>'User Growth'!Y18+'User Growth'!Y19</f>
        <v/>
      </c>
    </row>
    <row r="5">
      <c r="A5" s="3" t="inlineStr">
        <is>
          <t>Blended Monthly Churn (Paid)</t>
        </is>
      </c>
      <c r="B5" s="16">
        <f>IF(B4+'User Growth'!B12+'User Growth'!B13&gt;0,('User Growth'!B12+'User Growth'!B13)/(B4+'User Growth'!B12+'User Growth'!B13),0)</f>
        <v/>
      </c>
      <c r="C5" s="16">
        <f>IF(C4+'User Growth'!C12+'User Growth'!C13&gt;0,('User Growth'!C12+'User Growth'!C13)/(C4+'User Growth'!C12+'User Growth'!C13),0)</f>
        <v/>
      </c>
      <c r="D5" s="16">
        <f>IF(D4+'User Growth'!D12+'User Growth'!D13&gt;0,('User Growth'!D12+'User Growth'!D13)/(D4+'User Growth'!D12+'User Growth'!D13),0)</f>
        <v/>
      </c>
      <c r="E5" s="16">
        <f>IF(E4+'User Growth'!E12+'User Growth'!E13&gt;0,('User Growth'!E12+'User Growth'!E13)/(E4+'User Growth'!E12+'User Growth'!E13),0)</f>
        <v/>
      </c>
      <c r="F5" s="16">
        <f>IF(F4+'User Growth'!F12+'User Growth'!F13&gt;0,('User Growth'!F12+'User Growth'!F13)/(F4+'User Growth'!F12+'User Growth'!F13),0)</f>
        <v/>
      </c>
      <c r="G5" s="16">
        <f>IF(G4+'User Growth'!G12+'User Growth'!G13&gt;0,('User Growth'!G12+'User Growth'!G13)/(G4+'User Growth'!G12+'User Growth'!G13),0)</f>
        <v/>
      </c>
      <c r="H5" s="16">
        <f>IF(H4+'User Growth'!H12+'User Growth'!H13&gt;0,('User Growth'!H12+'User Growth'!H13)/(H4+'User Growth'!H12+'User Growth'!H13),0)</f>
        <v/>
      </c>
      <c r="I5" s="16">
        <f>IF(I4+'User Growth'!I12+'User Growth'!I13&gt;0,('User Growth'!I12+'User Growth'!I13)/(I4+'User Growth'!I12+'User Growth'!I13),0)</f>
        <v/>
      </c>
      <c r="J5" s="16">
        <f>IF(J4+'User Growth'!J12+'User Growth'!J13&gt;0,('User Growth'!J12+'User Growth'!J13)/(J4+'User Growth'!J12+'User Growth'!J13),0)</f>
        <v/>
      </c>
      <c r="K5" s="16">
        <f>IF(K4+'User Growth'!K12+'User Growth'!K13&gt;0,('User Growth'!K12+'User Growth'!K13)/(K4+'User Growth'!K12+'User Growth'!K13),0)</f>
        <v/>
      </c>
      <c r="L5" s="16">
        <f>IF(L4+'User Growth'!L12+'User Growth'!L13&gt;0,('User Growth'!L12+'User Growth'!L13)/(L4+'User Growth'!L12+'User Growth'!L13),0)</f>
        <v/>
      </c>
      <c r="M5" s="16">
        <f>IF(M4+'User Growth'!M12+'User Growth'!M13&gt;0,('User Growth'!M12+'User Growth'!M13)/(M4+'User Growth'!M12+'User Growth'!M13),0)</f>
        <v/>
      </c>
      <c r="N5" s="16">
        <f>IF(N4+'User Growth'!N12+'User Growth'!N13&gt;0,('User Growth'!N12+'User Growth'!N13)/(N4+'User Growth'!N12+'User Growth'!N13),0)</f>
        <v/>
      </c>
      <c r="O5" s="16">
        <f>IF(O4+'User Growth'!O12+'User Growth'!O13&gt;0,('User Growth'!O12+'User Growth'!O13)/(O4+'User Growth'!O12+'User Growth'!O13),0)</f>
        <v/>
      </c>
      <c r="P5" s="16">
        <f>IF(P4+'User Growth'!P12+'User Growth'!P13&gt;0,('User Growth'!P12+'User Growth'!P13)/(P4+'User Growth'!P12+'User Growth'!P13),0)</f>
        <v/>
      </c>
      <c r="Q5" s="16">
        <f>IF(Q4+'User Growth'!Q12+'User Growth'!Q13&gt;0,('User Growth'!Q12+'User Growth'!Q13)/(Q4+'User Growth'!Q12+'User Growth'!Q13),0)</f>
        <v/>
      </c>
      <c r="R5" s="16">
        <f>IF(R4+'User Growth'!R12+'User Growth'!R13&gt;0,('User Growth'!R12+'User Growth'!R13)/(R4+'User Growth'!R12+'User Growth'!R13),0)</f>
        <v/>
      </c>
      <c r="S5" s="16">
        <f>IF(S4+'User Growth'!S12+'User Growth'!S13&gt;0,('User Growth'!S12+'User Growth'!S13)/(S4+'User Growth'!S12+'User Growth'!S13),0)</f>
        <v/>
      </c>
      <c r="T5" s="16">
        <f>IF(T4+'User Growth'!T12+'User Growth'!T13&gt;0,('User Growth'!T12+'User Growth'!T13)/(T4+'User Growth'!T12+'User Growth'!T13),0)</f>
        <v/>
      </c>
      <c r="U5" s="16">
        <f>IF(U4+'User Growth'!U12+'User Growth'!U13&gt;0,('User Growth'!U12+'User Growth'!U13)/(U4+'User Growth'!U12+'User Growth'!U13),0)</f>
        <v/>
      </c>
      <c r="V5" s="16">
        <f>IF(V4+'User Growth'!V12+'User Growth'!V13&gt;0,('User Growth'!V12+'User Growth'!V13)/(V4+'User Growth'!V12+'User Growth'!V13),0)</f>
        <v/>
      </c>
      <c r="W5" s="16">
        <f>IF(W4+'User Growth'!W12+'User Growth'!W13&gt;0,('User Growth'!W12+'User Growth'!W13)/(W4+'User Growth'!W12+'User Growth'!W13),0)</f>
        <v/>
      </c>
      <c r="X5" s="16">
        <f>IF(X4+'User Growth'!X12+'User Growth'!X13&gt;0,('User Growth'!X12+'User Growth'!X13)/(X4+'User Growth'!X12+'User Growth'!X13),0)</f>
        <v/>
      </c>
      <c r="Y5" s="16">
        <f>IF(Y4+'User Growth'!Y12+'User Growth'!Y13&gt;0,('User Growth'!Y12+'User Growth'!Y13)/(Y4+'User Growth'!Y12+'User Growth'!Y13),0)</f>
        <v/>
      </c>
    </row>
    <row r="6">
      <c r="A6" s="3" t="inlineStr">
        <is>
          <t>Implied LTV (ARPU / Churn)</t>
        </is>
      </c>
      <c r="B6" s="15">
        <f>IF(B5&gt;0,B3/B5,0)</f>
        <v/>
      </c>
      <c r="C6" s="15">
        <f>IF(C5&gt;0,C3/C5,0)</f>
        <v/>
      </c>
      <c r="D6" s="15">
        <f>IF(D5&gt;0,D3/D5,0)</f>
        <v/>
      </c>
      <c r="E6" s="15">
        <f>IF(E5&gt;0,E3/E5,0)</f>
        <v/>
      </c>
      <c r="F6" s="15">
        <f>IF(F5&gt;0,F3/F5,0)</f>
        <v/>
      </c>
      <c r="G6" s="15">
        <f>IF(G5&gt;0,G3/G5,0)</f>
        <v/>
      </c>
      <c r="H6" s="15">
        <f>IF(H5&gt;0,H3/H5,0)</f>
        <v/>
      </c>
      <c r="I6" s="15">
        <f>IF(I5&gt;0,I3/I5,0)</f>
        <v/>
      </c>
      <c r="J6" s="15">
        <f>IF(J5&gt;0,J3/J5,0)</f>
        <v/>
      </c>
      <c r="K6" s="15">
        <f>IF(K5&gt;0,K3/K5,0)</f>
        <v/>
      </c>
      <c r="L6" s="15">
        <f>IF(L5&gt;0,L3/L5,0)</f>
        <v/>
      </c>
      <c r="M6" s="15">
        <f>IF(M5&gt;0,M3/M5,0)</f>
        <v/>
      </c>
      <c r="N6" s="15">
        <f>IF(N5&gt;0,N3/N5,0)</f>
        <v/>
      </c>
      <c r="O6" s="15">
        <f>IF(O5&gt;0,O3/O5,0)</f>
        <v/>
      </c>
      <c r="P6" s="15">
        <f>IF(P5&gt;0,P3/P5,0)</f>
        <v/>
      </c>
      <c r="Q6" s="15">
        <f>IF(Q5&gt;0,Q3/Q5,0)</f>
        <v/>
      </c>
      <c r="R6" s="15">
        <f>IF(R5&gt;0,R3/R5,0)</f>
        <v/>
      </c>
      <c r="S6" s="15">
        <f>IF(S5&gt;0,S3/S5,0)</f>
        <v/>
      </c>
      <c r="T6" s="15">
        <f>IF(T5&gt;0,T3/T5,0)</f>
        <v/>
      </c>
      <c r="U6" s="15">
        <f>IF(U5&gt;0,U3/U5,0)</f>
        <v/>
      </c>
      <c r="V6" s="15">
        <f>IF(V5&gt;0,V3/V5,0)</f>
        <v/>
      </c>
      <c r="W6" s="15">
        <f>IF(W5&gt;0,W3/W5,0)</f>
        <v/>
      </c>
      <c r="X6" s="15">
        <f>IF(X5&gt;0,X3/X5,0)</f>
        <v/>
      </c>
      <c r="Y6" s="15">
        <f>IF(Y5&gt;0,Y3/Y5,0)</f>
        <v/>
      </c>
    </row>
    <row r="7">
      <c r="A7" s="3" t="inlineStr">
        <is>
          <t>CAC (S&amp;M / New Users)</t>
        </is>
      </c>
      <c r="B7" s="19">
        <f>IF('User Growth'!B3&gt;0,'COGS &amp; Operating Expenses'!B17/'User Growth'!B3,0)</f>
        <v/>
      </c>
      <c r="C7" s="19">
        <f>IF('User Growth'!C3&gt;0,'COGS &amp; Operating Expenses'!C17/'User Growth'!C3,0)</f>
        <v/>
      </c>
      <c r="D7" s="19">
        <f>IF('User Growth'!D3&gt;0,'COGS &amp; Operating Expenses'!D17/'User Growth'!D3,0)</f>
        <v/>
      </c>
      <c r="E7" s="19">
        <f>IF('User Growth'!E3&gt;0,'COGS &amp; Operating Expenses'!E17/'User Growth'!E3,0)</f>
        <v/>
      </c>
      <c r="F7" s="19">
        <f>IF('User Growth'!F3&gt;0,'COGS &amp; Operating Expenses'!F17/'User Growth'!F3,0)</f>
        <v/>
      </c>
      <c r="G7" s="19">
        <f>IF('User Growth'!G3&gt;0,'COGS &amp; Operating Expenses'!G17/'User Growth'!G3,0)</f>
        <v/>
      </c>
      <c r="H7" s="19">
        <f>IF('User Growth'!H3&gt;0,'COGS &amp; Operating Expenses'!H17/'User Growth'!H3,0)</f>
        <v/>
      </c>
      <c r="I7" s="19">
        <f>IF('User Growth'!I3&gt;0,'COGS &amp; Operating Expenses'!I17/'User Growth'!I3,0)</f>
        <v/>
      </c>
      <c r="J7" s="19">
        <f>IF('User Growth'!J3&gt;0,'COGS &amp; Operating Expenses'!J17/'User Growth'!J3,0)</f>
        <v/>
      </c>
      <c r="K7" s="19">
        <f>IF('User Growth'!K3&gt;0,'COGS &amp; Operating Expenses'!K17/'User Growth'!K3,0)</f>
        <v/>
      </c>
      <c r="L7" s="19">
        <f>IF('User Growth'!L3&gt;0,'COGS &amp; Operating Expenses'!L17/'User Growth'!L3,0)</f>
        <v/>
      </c>
      <c r="M7" s="19">
        <f>IF('User Growth'!M3&gt;0,'COGS &amp; Operating Expenses'!M17/'User Growth'!M3,0)</f>
        <v/>
      </c>
      <c r="N7" s="19">
        <f>IF('User Growth'!N3&gt;0,'COGS &amp; Operating Expenses'!N17/'User Growth'!N3,0)</f>
        <v/>
      </c>
      <c r="O7" s="19">
        <f>IF('User Growth'!O3&gt;0,'COGS &amp; Operating Expenses'!O17/'User Growth'!O3,0)</f>
        <v/>
      </c>
      <c r="P7" s="19">
        <f>IF('User Growth'!P3&gt;0,'COGS &amp; Operating Expenses'!P17/'User Growth'!P3,0)</f>
        <v/>
      </c>
      <c r="Q7" s="19">
        <f>IF('User Growth'!Q3&gt;0,'COGS &amp; Operating Expenses'!Q17/'User Growth'!Q3,0)</f>
        <v/>
      </c>
      <c r="R7" s="19">
        <f>IF('User Growth'!R3&gt;0,'COGS &amp; Operating Expenses'!R17/'User Growth'!R3,0)</f>
        <v/>
      </c>
      <c r="S7" s="19">
        <f>IF('User Growth'!S3&gt;0,'COGS &amp; Operating Expenses'!S17/'User Growth'!S3,0)</f>
        <v/>
      </c>
      <c r="T7" s="19">
        <f>IF('User Growth'!T3&gt;0,'COGS &amp; Operating Expenses'!T17/'User Growth'!T3,0)</f>
        <v/>
      </c>
      <c r="U7" s="19">
        <f>IF('User Growth'!U3&gt;0,'COGS &amp; Operating Expenses'!U17/'User Growth'!U3,0)</f>
        <v/>
      </c>
      <c r="V7" s="19">
        <f>IF('User Growth'!V3&gt;0,'COGS &amp; Operating Expenses'!V17/'User Growth'!V3,0)</f>
        <v/>
      </c>
      <c r="W7" s="19">
        <f>IF('User Growth'!W3&gt;0,'COGS &amp; Operating Expenses'!W17/'User Growth'!W3,0)</f>
        <v/>
      </c>
      <c r="X7" s="19">
        <f>IF('User Growth'!X3&gt;0,'COGS &amp; Operating Expenses'!X17/'User Growth'!X3,0)</f>
        <v/>
      </c>
      <c r="Y7" s="19">
        <f>IF('User Growth'!Y3&gt;0,'COGS &amp; Operating Expenses'!Y17/'User Growth'!Y3,0)</f>
        <v/>
      </c>
    </row>
    <row r="8">
      <c r="A8" s="3" t="inlineStr">
        <is>
          <t>LTV:CAC Ratio</t>
        </is>
      </c>
      <c r="B8" s="21">
        <f>IF(B7&gt;0,B6/B7,0)</f>
        <v/>
      </c>
      <c r="C8" s="21">
        <f>IF(C7&gt;0,C6/C7,0)</f>
        <v/>
      </c>
      <c r="D8" s="21">
        <f>IF(D7&gt;0,D6/D7,0)</f>
        <v/>
      </c>
      <c r="E8" s="21">
        <f>IF(E7&gt;0,E6/E7,0)</f>
        <v/>
      </c>
      <c r="F8" s="21">
        <f>IF(F7&gt;0,F6/F7,0)</f>
        <v/>
      </c>
      <c r="G8" s="21">
        <f>IF(G7&gt;0,G6/G7,0)</f>
        <v/>
      </c>
      <c r="H8" s="21">
        <f>IF(H7&gt;0,H6/H7,0)</f>
        <v/>
      </c>
      <c r="I8" s="21">
        <f>IF(I7&gt;0,I6/I7,0)</f>
        <v/>
      </c>
      <c r="J8" s="21">
        <f>IF(J7&gt;0,J6/J7,0)</f>
        <v/>
      </c>
      <c r="K8" s="21">
        <f>IF(K7&gt;0,K6/K7,0)</f>
        <v/>
      </c>
      <c r="L8" s="21">
        <f>IF(L7&gt;0,L6/L7,0)</f>
        <v/>
      </c>
      <c r="M8" s="21">
        <f>IF(M7&gt;0,M6/M7,0)</f>
        <v/>
      </c>
      <c r="N8" s="21">
        <f>IF(N7&gt;0,N6/N7,0)</f>
        <v/>
      </c>
      <c r="O8" s="21">
        <f>IF(O7&gt;0,O6/O7,0)</f>
        <v/>
      </c>
      <c r="P8" s="21">
        <f>IF(P7&gt;0,P6/P7,0)</f>
        <v/>
      </c>
      <c r="Q8" s="21">
        <f>IF(Q7&gt;0,Q6/Q7,0)</f>
        <v/>
      </c>
      <c r="R8" s="21">
        <f>IF(R7&gt;0,R6/R7,0)</f>
        <v/>
      </c>
      <c r="S8" s="21">
        <f>IF(S7&gt;0,S6/S7,0)</f>
        <v/>
      </c>
      <c r="T8" s="21">
        <f>IF(T7&gt;0,T6/T7,0)</f>
        <v/>
      </c>
      <c r="U8" s="21">
        <f>IF(U7&gt;0,U6/U7,0)</f>
        <v/>
      </c>
      <c r="V8" s="21">
        <f>IF(V7&gt;0,V6/V7,0)</f>
        <v/>
      </c>
      <c r="W8" s="21">
        <f>IF(W7&gt;0,W6/W7,0)</f>
        <v/>
      </c>
      <c r="X8" s="21">
        <f>IF(X7&gt;0,X6/X7,0)</f>
        <v/>
      </c>
      <c r="Y8" s="21">
        <f>IF(Y7&gt;0,Y6/Y7,0)</f>
        <v/>
      </c>
    </row>
    <row r="9">
      <c r="A9" s="3" t="inlineStr">
        <is>
          <t>Payback Period (months)</t>
        </is>
      </c>
      <c r="B9" s="22">
        <f>IF(B3&gt;0,B7/B3,0)</f>
        <v/>
      </c>
      <c r="C9" s="22">
        <f>IF(C3&gt;0,C7/C3,0)</f>
        <v/>
      </c>
      <c r="D9" s="22">
        <f>IF(D3&gt;0,D7/D3,0)</f>
        <v/>
      </c>
      <c r="E9" s="22">
        <f>IF(E3&gt;0,E7/E3,0)</f>
        <v/>
      </c>
      <c r="F9" s="22">
        <f>IF(F3&gt;0,F7/F3,0)</f>
        <v/>
      </c>
      <c r="G9" s="22">
        <f>IF(G3&gt;0,G7/G3,0)</f>
        <v/>
      </c>
      <c r="H9" s="22">
        <f>IF(H3&gt;0,H7/H3,0)</f>
        <v/>
      </c>
      <c r="I9" s="22">
        <f>IF(I3&gt;0,I7/I3,0)</f>
        <v/>
      </c>
      <c r="J9" s="22">
        <f>IF(J3&gt;0,J7/J3,0)</f>
        <v/>
      </c>
      <c r="K9" s="22">
        <f>IF(K3&gt;0,K7/K3,0)</f>
        <v/>
      </c>
      <c r="L9" s="22">
        <f>IF(L3&gt;0,L7/L3,0)</f>
        <v/>
      </c>
      <c r="M9" s="22">
        <f>IF(M3&gt;0,M7/M3,0)</f>
        <v/>
      </c>
      <c r="N9" s="22">
        <f>IF(N3&gt;0,N7/N3,0)</f>
        <v/>
      </c>
      <c r="O9" s="22">
        <f>IF(O3&gt;0,O7/O3,0)</f>
        <v/>
      </c>
      <c r="P9" s="22">
        <f>IF(P3&gt;0,P7/P3,0)</f>
        <v/>
      </c>
      <c r="Q9" s="22">
        <f>IF(Q3&gt;0,Q7/Q3,0)</f>
        <v/>
      </c>
      <c r="R9" s="22">
        <f>IF(R3&gt;0,R7/R3,0)</f>
        <v/>
      </c>
      <c r="S9" s="22">
        <f>IF(S3&gt;0,S7/S3,0)</f>
        <v/>
      </c>
      <c r="T9" s="22">
        <f>IF(T3&gt;0,T7/T3,0)</f>
        <v/>
      </c>
      <c r="U9" s="22">
        <f>IF(U3&gt;0,U7/U3,0)</f>
        <v/>
      </c>
      <c r="V9" s="22">
        <f>IF(V3&gt;0,V7/V3,0)</f>
        <v/>
      </c>
      <c r="W9" s="22">
        <f>IF(W3&gt;0,W7/W3,0)</f>
        <v/>
      </c>
      <c r="X9" s="22">
        <f>IF(X3&gt;0,X7/X3,0)</f>
        <v/>
      </c>
      <c r="Y9" s="22">
        <f>IF(Y3&gt;0,Y7/Y3,0)</f>
        <v/>
      </c>
    </row>
    <row r="10">
      <c r="A10" s="3" t="inlineStr">
        <is>
          <t>Team Size (approx)</t>
        </is>
      </c>
      <c r="B10" s="15">
        <f>IF(COLUMN()-2&lt;6,0,IF(COLUMN()-2&lt;12,1,IF(COLUMN()-2&lt;18,2,3)))</f>
        <v/>
      </c>
      <c r="C10" s="15">
        <f>IF(COLUMN()-2&lt;6,0,IF(COLUMN()-2&lt;12,1,IF(COLUMN()-2&lt;18,2,3)))</f>
        <v/>
      </c>
      <c r="D10" s="15">
        <f>IF(COLUMN()-2&lt;6,0,IF(COLUMN()-2&lt;12,1,IF(COLUMN()-2&lt;18,2,3)))</f>
        <v/>
      </c>
      <c r="E10" s="15">
        <f>IF(COLUMN()-2&lt;6,0,IF(COLUMN()-2&lt;12,1,IF(COLUMN()-2&lt;18,2,3)))</f>
        <v/>
      </c>
      <c r="F10" s="15">
        <f>IF(COLUMN()-2&lt;6,0,IF(COLUMN()-2&lt;12,1,IF(COLUMN()-2&lt;18,2,3)))</f>
        <v/>
      </c>
      <c r="G10" s="15">
        <f>IF(COLUMN()-2&lt;6,0,IF(COLUMN()-2&lt;12,1,IF(COLUMN()-2&lt;18,2,3)))</f>
        <v/>
      </c>
      <c r="H10" s="15">
        <f>IF(COLUMN()-2&lt;6,0,IF(COLUMN()-2&lt;12,1,IF(COLUMN()-2&lt;18,2,3)))</f>
        <v/>
      </c>
      <c r="I10" s="15">
        <f>IF(COLUMN()-2&lt;6,0,IF(COLUMN()-2&lt;12,1,IF(COLUMN()-2&lt;18,2,3)))</f>
        <v/>
      </c>
      <c r="J10" s="15">
        <f>IF(COLUMN()-2&lt;6,0,IF(COLUMN()-2&lt;12,1,IF(COLUMN()-2&lt;18,2,3)))</f>
        <v/>
      </c>
      <c r="K10" s="15">
        <f>IF(COLUMN()-2&lt;6,0,IF(COLUMN()-2&lt;12,1,IF(COLUMN()-2&lt;18,2,3)))</f>
        <v/>
      </c>
      <c r="L10" s="15">
        <f>IF(COLUMN()-2&lt;6,0,IF(COLUMN()-2&lt;12,1,IF(COLUMN()-2&lt;18,2,3)))</f>
        <v/>
      </c>
      <c r="M10" s="15">
        <f>IF(COLUMN()-2&lt;6,0,IF(COLUMN()-2&lt;12,1,IF(COLUMN()-2&lt;18,2,3)))</f>
        <v/>
      </c>
      <c r="N10" s="15">
        <f>IF(COLUMN()-2&lt;6,0,IF(COLUMN()-2&lt;12,1,IF(COLUMN()-2&lt;18,2,3)))</f>
        <v/>
      </c>
      <c r="O10" s="15">
        <f>IF(COLUMN()-2&lt;6,0,IF(COLUMN()-2&lt;12,1,IF(COLUMN()-2&lt;18,2,3)))</f>
        <v/>
      </c>
      <c r="P10" s="15">
        <f>IF(COLUMN()-2&lt;6,0,IF(COLUMN()-2&lt;12,1,IF(COLUMN()-2&lt;18,2,3)))</f>
        <v/>
      </c>
      <c r="Q10" s="15">
        <f>IF(COLUMN()-2&lt;6,0,IF(COLUMN()-2&lt;12,1,IF(COLUMN()-2&lt;18,2,3)))</f>
        <v/>
      </c>
      <c r="R10" s="15">
        <f>IF(COLUMN()-2&lt;6,0,IF(COLUMN()-2&lt;12,1,IF(COLUMN()-2&lt;18,2,3)))</f>
        <v/>
      </c>
      <c r="S10" s="15">
        <f>IF(COLUMN()-2&lt;6,0,IF(COLUMN()-2&lt;12,1,IF(COLUMN()-2&lt;18,2,3)))</f>
        <v/>
      </c>
      <c r="T10" s="15">
        <f>IF(COLUMN()-2&lt;6,0,IF(COLUMN()-2&lt;12,1,IF(COLUMN()-2&lt;18,2,3)))</f>
        <v/>
      </c>
      <c r="U10" s="15">
        <f>IF(COLUMN()-2&lt;6,0,IF(COLUMN()-2&lt;12,1,IF(COLUMN()-2&lt;18,2,3)))</f>
        <v/>
      </c>
      <c r="V10" s="15">
        <f>IF(COLUMN()-2&lt;6,0,IF(COLUMN()-2&lt;12,1,IF(COLUMN()-2&lt;18,2,3)))</f>
        <v/>
      </c>
      <c r="W10" s="15">
        <f>IF(COLUMN()-2&lt;6,0,IF(COLUMN()-2&lt;12,1,IF(COLUMN()-2&lt;18,2,3)))</f>
        <v/>
      </c>
      <c r="X10" s="15">
        <f>IF(COLUMN()-2&lt;6,0,IF(COLUMN()-2&lt;12,1,IF(COLUMN()-2&lt;18,2,3)))</f>
        <v/>
      </c>
      <c r="Y10" s="15">
        <f>IF(COLUMN()-2&lt;6,0,IF(COLUMN()-2&lt;12,1,IF(COLUMN()-2&lt;18,2,3)))</f>
        <v/>
      </c>
    </row>
    <row r="11">
      <c r="A11" s="3" t="inlineStr">
        <is>
          <t>Revenue Per Employee</t>
        </is>
      </c>
      <c r="B11" s="15">
        <f>IF(B10&gt;0,Revenue!B35/B10,0)</f>
        <v/>
      </c>
      <c r="C11" s="15">
        <f>IF(C10&gt;0,Revenue!C35/C10,0)</f>
        <v/>
      </c>
      <c r="D11" s="15">
        <f>IF(D10&gt;0,Revenue!D35/D10,0)</f>
        <v/>
      </c>
      <c r="E11" s="15">
        <f>IF(E10&gt;0,Revenue!E35/E10,0)</f>
        <v/>
      </c>
      <c r="F11" s="15">
        <f>IF(F10&gt;0,Revenue!F35/F10,0)</f>
        <v/>
      </c>
      <c r="G11" s="15">
        <f>IF(G10&gt;0,Revenue!G35/G10,0)</f>
        <v/>
      </c>
      <c r="H11" s="15">
        <f>IF(H10&gt;0,Revenue!H35/H10,0)</f>
        <v/>
      </c>
      <c r="I11" s="15">
        <f>IF(I10&gt;0,Revenue!I35/I10,0)</f>
        <v/>
      </c>
      <c r="J11" s="15">
        <f>IF(J10&gt;0,Revenue!J35/J10,0)</f>
        <v/>
      </c>
      <c r="K11" s="15">
        <f>IF(K10&gt;0,Revenue!K35/K10,0)</f>
        <v/>
      </c>
      <c r="L11" s="15">
        <f>IF(L10&gt;0,Revenue!L35/L10,0)</f>
        <v/>
      </c>
      <c r="M11" s="15">
        <f>IF(M10&gt;0,Revenue!M35/M10,0)</f>
        <v/>
      </c>
      <c r="N11" s="15">
        <f>IF(N10&gt;0,Revenue!N35/N10,0)</f>
        <v/>
      </c>
      <c r="O11" s="15">
        <f>IF(O10&gt;0,Revenue!O35/O10,0)</f>
        <v/>
      </c>
      <c r="P11" s="15">
        <f>IF(P10&gt;0,Revenue!P35/P10,0)</f>
        <v/>
      </c>
      <c r="Q11" s="15">
        <f>IF(Q10&gt;0,Revenue!Q35/Q10,0)</f>
        <v/>
      </c>
      <c r="R11" s="15">
        <f>IF(R10&gt;0,Revenue!R35/R10,0)</f>
        <v/>
      </c>
      <c r="S11" s="15">
        <f>IF(S10&gt;0,Revenue!S35/S10,0)</f>
        <v/>
      </c>
      <c r="T11" s="15">
        <f>IF(T10&gt;0,Revenue!T35/T10,0)</f>
        <v/>
      </c>
      <c r="U11" s="15">
        <f>IF(U10&gt;0,Revenue!U35/U10,0)</f>
        <v/>
      </c>
      <c r="V11" s="15">
        <f>IF(V10&gt;0,Revenue!V35/V10,0)</f>
        <v/>
      </c>
      <c r="W11" s="15">
        <f>IF(W10&gt;0,Revenue!W35/W10,0)</f>
        <v/>
      </c>
      <c r="X11" s="15">
        <f>IF(X10&gt;0,Revenue!X35/X10,0)</f>
        <v/>
      </c>
      <c r="Y11" s="15">
        <f>IF(Y10&gt;0,Revenue!Y35/Y10,0)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Cash Flow</t>
        </is>
      </c>
      <c r="B1" s="1" t="inlineStr">
        <is>
          <t>Apr-26</t>
        </is>
      </c>
      <c r="C1" s="1" t="inlineStr">
        <is>
          <t>May-26</t>
        </is>
      </c>
      <c r="D1" s="1" t="inlineStr">
        <is>
          <t>Jun-26</t>
        </is>
      </c>
      <c r="E1" s="1" t="inlineStr">
        <is>
          <t>Jul-26</t>
        </is>
      </c>
      <c r="F1" s="1" t="inlineStr">
        <is>
          <t>Aug-26</t>
        </is>
      </c>
      <c r="G1" s="1" t="inlineStr">
        <is>
          <t>Sep-26</t>
        </is>
      </c>
      <c r="H1" s="1" t="inlineStr">
        <is>
          <t>Oct-26</t>
        </is>
      </c>
      <c r="I1" s="1" t="inlineStr">
        <is>
          <t>Nov-26</t>
        </is>
      </c>
      <c r="J1" s="1" t="inlineStr">
        <is>
          <t>Dec-26</t>
        </is>
      </c>
      <c r="K1" s="1" t="inlineStr">
        <is>
          <t>Jan-27</t>
        </is>
      </c>
      <c r="L1" s="1" t="inlineStr">
        <is>
          <t>Feb-27</t>
        </is>
      </c>
      <c r="M1" s="1" t="inlineStr">
        <is>
          <t>Mar-27</t>
        </is>
      </c>
      <c r="N1" s="1" t="inlineStr">
        <is>
          <t>Apr-27</t>
        </is>
      </c>
      <c r="O1" s="1" t="inlineStr">
        <is>
          <t>May-27</t>
        </is>
      </c>
      <c r="P1" s="1" t="inlineStr">
        <is>
          <t>Jun-27</t>
        </is>
      </c>
      <c r="Q1" s="1" t="inlineStr">
        <is>
          <t>Jul-27</t>
        </is>
      </c>
      <c r="R1" s="1" t="inlineStr">
        <is>
          <t>Aug-27</t>
        </is>
      </c>
      <c r="S1" s="1" t="inlineStr">
        <is>
          <t>Sep-27</t>
        </is>
      </c>
      <c r="T1" s="1" t="inlineStr">
        <is>
          <t>Oct-27</t>
        </is>
      </c>
      <c r="U1" s="1" t="inlineStr">
        <is>
          <t>Nov-27</t>
        </is>
      </c>
      <c r="V1" s="1" t="inlineStr">
        <is>
          <t>Dec-27</t>
        </is>
      </c>
      <c r="W1" s="1" t="inlineStr">
        <is>
          <t>Jan-28</t>
        </is>
      </c>
      <c r="X1" s="1" t="inlineStr">
        <is>
          <t>Feb-28</t>
        </is>
      </c>
      <c r="Y1" s="1" t="inlineStr">
        <is>
          <t>Mar-28</t>
        </is>
      </c>
    </row>
    <row r="2">
      <c r="A2" s="12" t="inlineStr">
        <is>
          <t>Starting Cash</t>
        </is>
      </c>
      <c r="B2" s="15">
        <f>Assumptions!$B$200</f>
        <v/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</row>
    <row r="3">
      <c r="A3" s="3" t="inlineStr">
        <is>
          <t>Monthly Net Income (EBITDA)</t>
        </is>
      </c>
      <c r="B3" s="15">
        <f>'COGS &amp; Operating Expenses'!B36</f>
        <v/>
      </c>
      <c r="C3" s="15">
        <f>'COGS &amp; Operating Expenses'!C36</f>
        <v/>
      </c>
      <c r="D3" s="15">
        <f>'COGS &amp; Operating Expenses'!D36</f>
        <v/>
      </c>
      <c r="E3" s="15">
        <f>'COGS &amp; Operating Expenses'!E36</f>
        <v/>
      </c>
      <c r="F3" s="15">
        <f>'COGS &amp; Operating Expenses'!F36</f>
        <v/>
      </c>
      <c r="G3" s="15">
        <f>'COGS &amp; Operating Expenses'!G36</f>
        <v/>
      </c>
      <c r="H3" s="15">
        <f>'COGS &amp; Operating Expenses'!H36</f>
        <v/>
      </c>
      <c r="I3" s="15">
        <f>'COGS &amp; Operating Expenses'!I36</f>
        <v/>
      </c>
      <c r="J3" s="15">
        <f>'COGS &amp; Operating Expenses'!J36</f>
        <v/>
      </c>
      <c r="K3" s="15">
        <f>'COGS &amp; Operating Expenses'!K36</f>
        <v/>
      </c>
      <c r="L3" s="15">
        <f>'COGS &amp; Operating Expenses'!L36</f>
        <v/>
      </c>
      <c r="M3" s="15">
        <f>'COGS &amp; Operating Expenses'!M36</f>
        <v/>
      </c>
      <c r="N3" s="15">
        <f>'COGS &amp; Operating Expenses'!N36</f>
        <v/>
      </c>
      <c r="O3" s="15">
        <f>'COGS &amp; Operating Expenses'!O36</f>
        <v/>
      </c>
      <c r="P3" s="15">
        <f>'COGS &amp; Operating Expenses'!P36</f>
        <v/>
      </c>
      <c r="Q3" s="15">
        <f>'COGS &amp; Operating Expenses'!Q36</f>
        <v/>
      </c>
      <c r="R3" s="15">
        <f>'COGS &amp; Operating Expenses'!R36</f>
        <v/>
      </c>
      <c r="S3" s="15">
        <f>'COGS &amp; Operating Expenses'!S36</f>
        <v/>
      </c>
      <c r="T3" s="15">
        <f>'COGS &amp; Operating Expenses'!T36</f>
        <v/>
      </c>
      <c r="U3" s="15">
        <f>'COGS &amp; Operating Expenses'!U36</f>
        <v/>
      </c>
      <c r="V3" s="15">
        <f>'COGS &amp; Operating Expenses'!V36</f>
        <v/>
      </c>
      <c r="W3" s="15">
        <f>'COGS &amp; Operating Expenses'!W36</f>
        <v/>
      </c>
      <c r="X3" s="15">
        <f>'COGS &amp; Operating Expenses'!X36</f>
        <v/>
      </c>
      <c r="Y3" s="15">
        <f>'COGS &amp; Operating Expenses'!Y36</f>
        <v/>
      </c>
    </row>
    <row r="4">
      <c r="A4" s="17" t="inlineStr">
        <is>
          <t>Cumulative Cash Position</t>
        </is>
      </c>
      <c r="B4" s="18">
        <f>Assumptions!$B$200+B3</f>
        <v/>
      </c>
      <c r="C4" s="18">
        <f>B4+C3</f>
        <v/>
      </c>
      <c r="D4" s="18">
        <f>C4+D3</f>
        <v/>
      </c>
      <c r="E4" s="18">
        <f>D4+E3</f>
        <v/>
      </c>
      <c r="F4" s="18">
        <f>E4+F3</f>
        <v/>
      </c>
      <c r="G4" s="18">
        <f>F4+G3</f>
        <v/>
      </c>
      <c r="H4" s="18">
        <f>G4+H3</f>
        <v/>
      </c>
      <c r="I4" s="18">
        <f>H4+I3</f>
        <v/>
      </c>
      <c r="J4" s="18">
        <f>I4+J3</f>
        <v/>
      </c>
      <c r="K4" s="18">
        <f>J4+K3</f>
        <v/>
      </c>
      <c r="L4" s="18">
        <f>K4+L3</f>
        <v/>
      </c>
      <c r="M4" s="18">
        <f>L4+M3</f>
        <v/>
      </c>
      <c r="N4" s="18">
        <f>M4+N3</f>
        <v/>
      </c>
      <c r="O4" s="18">
        <f>N4+O3</f>
        <v/>
      </c>
      <c r="P4" s="18">
        <f>O4+P3</f>
        <v/>
      </c>
      <c r="Q4" s="18">
        <f>P4+Q3</f>
        <v/>
      </c>
      <c r="R4" s="18">
        <f>Q4+R3</f>
        <v/>
      </c>
      <c r="S4" s="18">
        <f>R4+S3</f>
        <v/>
      </c>
      <c r="T4" s="18">
        <f>S4+T3</f>
        <v/>
      </c>
      <c r="U4" s="18">
        <f>T4+U3</f>
        <v/>
      </c>
      <c r="V4" s="18">
        <f>U4+V3</f>
        <v/>
      </c>
      <c r="W4" s="18">
        <f>V4+W3</f>
        <v/>
      </c>
      <c r="X4" s="18">
        <f>W4+X3</f>
        <v/>
      </c>
      <c r="Y4" s="18">
        <f>X4+Y3</f>
        <v/>
      </c>
    </row>
    <row r="5">
      <c r="A5" s="3" t="inlineStr">
        <is>
          <t>Monthly Burn Rate</t>
        </is>
      </c>
      <c r="B5" s="15">
        <f>IF(B3&lt;0,-B3,0)</f>
        <v/>
      </c>
      <c r="C5" s="15">
        <f>IF(C3&lt;0,-C3,0)</f>
        <v/>
      </c>
      <c r="D5" s="15">
        <f>IF(D3&lt;0,-D3,0)</f>
        <v/>
      </c>
      <c r="E5" s="15">
        <f>IF(E3&lt;0,-E3,0)</f>
        <v/>
      </c>
      <c r="F5" s="15">
        <f>IF(F3&lt;0,-F3,0)</f>
        <v/>
      </c>
      <c r="G5" s="15">
        <f>IF(G3&lt;0,-G3,0)</f>
        <v/>
      </c>
      <c r="H5" s="15">
        <f>IF(H3&lt;0,-H3,0)</f>
        <v/>
      </c>
      <c r="I5" s="15">
        <f>IF(I3&lt;0,-I3,0)</f>
        <v/>
      </c>
      <c r="J5" s="15">
        <f>IF(J3&lt;0,-J3,0)</f>
        <v/>
      </c>
      <c r="K5" s="15">
        <f>IF(K3&lt;0,-K3,0)</f>
        <v/>
      </c>
      <c r="L5" s="15">
        <f>IF(L3&lt;0,-L3,0)</f>
        <v/>
      </c>
      <c r="M5" s="15">
        <f>IF(M3&lt;0,-M3,0)</f>
        <v/>
      </c>
      <c r="N5" s="15">
        <f>IF(N3&lt;0,-N3,0)</f>
        <v/>
      </c>
      <c r="O5" s="15">
        <f>IF(O3&lt;0,-O3,0)</f>
        <v/>
      </c>
      <c r="P5" s="15">
        <f>IF(P3&lt;0,-P3,0)</f>
        <v/>
      </c>
      <c r="Q5" s="15">
        <f>IF(Q3&lt;0,-Q3,0)</f>
        <v/>
      </c>
      <c r="R5" s="15">
        <f>IF(R3&lt;0,-R3,0)</f>
        <v/>
      </c>
      <c r="S5" s="15">
        <f>IF(S3&lt;0,-S3,0)</f>
        <v/>
      </c>
      <c r="T5" s="15">
        <f>IF(T3&lt;0,-T3,0)</f>
        <v/>
      </c>
      <c r="U5" s="15">
        <f>IF(U3&lt;0,-U3,0)</f>
        <v/>
      </c>
      <c r="V5" s="15">
        <f>IF(V3&lt;0,-V3,0)</f>
        <v/>
      </c>
      <c r="W5" s="15">
        <f>IF(W3&lt;0,-W3,0)</f>
        <v/>
      </c>
      <c r="X5" s="15">
        <f>IF(X3&lt;0,-X3,0)</f>
        <v/>
      </c>
      <c r="Y5" s="15">
        <f>IF(Y3&lt;0,-Y3,0)</f>
        <v/>
      </c>
    </row>
    <row r="6">
      <c r="A6" s="3" t="inlineStr">
        <is>
          <t>Runway (months)</t>
        </is>
      </c>
      <c r="B6" s="22">
        <f>IF(AND(B5&gt;0,B4&gt;0),B4/B5,0)</f>
        <v/>
      </c>
      <c r="C6" s="22">
        <f>IF(AND(C5&gt;0,C4&gt;0),C4/C5,0)</f>
        <v/>
      </c>
      <c r="D6" s="22">
        <f>IF(AND(D5&gt;0,D4&gt;0),D4/D5,0)</f>
        <v/>
      </c>
      <c r="E6" s="22">
        <f>IF(AND(E5&gt;0,E4&gt;0),E4/E5,0)</f>
        <v/>
      </c>
      <c r="F6" s="22">
        <f>IF(AND(F5&gt;0,F4&gt;0),F4/F5,0)</f>
        <v/>
      </c>
      <c r="G6" s="22">
        <f>IF(AND(G5&gt;0,G4&gt;0),G4/G5,0)</f>
        <v/>
      </c>
      <c r="H6" s="22">
        <f>IF(AND(H5&gt;0,H4&gt;0),H4/H5,0)</f>
        <v/>
      </c>
      <c r="I6" s="22">
        <f>IF(AND(I5&gt;0,I4&gt;0),I4/I5,0)</f>
        <v/>
      </c>
      <c r="J6" s="22">
        <f>IF(AND(J5&gt;0,J4&gt;0),J4/J5,0)</f>
        <v/>
      </c>
      <c r="K6" s="22">
        <f>IF(AND(K5&gt;0,K4&gt;0),K4/K5,0)</f>
        <v/>
      </c>
      <c r="L6" s="22">
        <f>IF(AND(L5&gt;0,L4&gt;0),L4/L5,0)</f>
        <v/>
      </c>
      <c r="M6" s="22">
        <f>IF(AND(M5&gt;0,M4&gt;0),M4/M5,0)</f>
        <v/>
      </c>
      <c r="N6" s="22">
        <f>IF(AND(N5&gt;0,N4&gt;0),N4/N5,0)</f>
        <v/>
      </c>
      <c r="O6" s="22">
        <f>IF(AND(O5&gt;0,O4&gt;0),O4/O5,0)</f>
        <v/>
      </c>
      <c r="P6" s="22">
        <f>IF(AND(P5&gt;0,P4&gt;0),P4/P5,0)</f>
        <v/>
      </c>
      <c r="Q6" s="22">
        <f>IF(AND(Q5&gt;0,Q4&gt;0),Q4/Q5,0)</f>
        <v/>
      </c>
      <c r="R6" s="22">
        <f>IF(AND(R5&gt;0,R4&gt;0),R4/R5,0)</f>
        <v/>
      </c>
      <c r="S6" s="22">
        <f>IF(AND(S5&gt;0,S4&gt;0),S4/S5,0)</f>
        <v/>
      </c>
      <c r="T6" s="22">
        <f>IF(AND(T5&gt;0,T4&gt;0),T4/T5,0)</f>
        <v/>
      </c>
      <c r="U6" s="22">
        <f>IF(AND(U5&gt;0,U4&gt;0),U4/U5,0)</f>
        <v/>
      </c>
      <c r="V6" s="22">
        <f>IF(AND(V5&gt;0,V4&gt;0),V4/V5,0)</f>
        <v/>
      </c>
      <c r="W6" s="22">
        <f>IF(AND(W5&gt;0,W4&gt;0),W4/W5,0)</f>
        <v/>
      </c>
      <c r="X6" s="22">
        <f>IF(AND(X5&gt;0,X4&gt;0),X4/X5,0)</f>
        <v/>
      </c>
      <c r="Y6" s="22">
        <f>IF(AND(Y5&gt;0,Y4&gt;0),Y4/Y5,0)</f>
        <v/>
      </c>
    </row>
    <row r="8">
      <c r="A8" s="12" t="inlineStr">
        <is>
          <t>Cash Flow Positive Month:</t>
        </is>
      </c>
      <c r="B8" s="23">
        <f>IFERROR(INDEX(B1:Y1,MATCH(TRUE,B3:Y3&gt;0,0)),"Not within 24 months")</f>
        <v/>
      </c>
    </row>
  </sheetData>
  <conditionalFormatting sqref="B4:Y4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B3:Y3">
    <cfRule type="cellIs" priority="3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Year 1 (Apr 26-Mar 27)</t>
        </is>
      </c>
      <c r="C1" s="1" t="inlineStr">
        <is>
          <t>Year 2 (Apr 27-Mar 28)</t>
        </is>
      </c>
      <c r="D1" s="1" t="inlineStr">
        <is>
          <t>YoY Growth %</t>
        </is>
      </c>
    </row>
    <row r="2">
      <c r="A2" s="2" t="inlineStr">
        <is>
          <t>KEY METRICS</t>
        </is>
      </c>
    </row>
    <row r="3">
      <c r="A3" s="3" t="inlineStr">
        <is>
          <t>End-of-Year Total Users</t>
        </is>
      </c>
      <c r="B3" s="15">
        <f>'User Growth'!M20</f>
        <v/>
      </c>
      <c r="C3" s="15">
        <f>'User Growth'!Y20</f>
        <v/>
      </c>
      <c r="D3" s="16">
        <f>IF(ABS(B3)&gt;0,(C3-B3)/ABS(B3),0)</f>
        <v/>
      </c>
    </row>
    <row r="4">
      <c r="A4" s="3" t="inlineStr">
        <is>
          <t>End-of-Year Pro Users</t>
        </is>
      </c>
      <c r="B4" s="15">
        <f>'User Growth'!M18</f>
        <v/>
      </c>
      <c r="C4" s="15">
        <f>'User Growth'!Y18</f>
        <v/>
      </c>
      <c r="D4" s="16">
        <f>IF(ABS(B4)&gt;0,(C4-B4)/ABS(B4),0)</f>
        <v/>
      </c>
    </row>
    <row r="5">
      <c r="A5" s="3" t="inlineStr">
        <is>
          <t>End-of-Year Commissioner Users</t>
        </is>
      </c>
      <c r="B5" s="15">
        <f>'User Growth'!M19</f>
        <v/>
      </c>
      <c r="C5" s="15">
        <f>'User Growth'!Y19</f>
        <v/>
      </c>
      <c r="D5" s="16">
        <f>IF(ABS(B5)&gt;0,(C5-B5)/ABS(B5),0)</f>
        <v/>
      </c>
    </row>
    <row r="7">
      <c r="A7" s="2" t="inlineStr">
        <is>
          <t>REVENUE</t>
        </is>
      </c>
    </row>
    <row r="8">
      <c r="A8" s="3" t="inlineStr">
        <is>
          <t>Net Subscription Revenue</t>
        </is>
      </c>
      <c r="B8" s="15">
        <f>SUM(Revenue!B9:Revenue!M9)</f>
        <v/>
      </c>
      <c r="C8" s="15">
        <f>SUM(Revenue!N9:Revenue!Y9)</f>
        <v/>
      </c>
      <c r="D8" s="16">
        <f>IF(ABS(B8)&gt;0,(C8-B8)/ABS(B8),0)</f>
        <v/>
      </c>
    </row>
    <row r="9">
      <c r="A9" s="3" t="inlineStr">
        <is>
          <t>Pay-Per-Use Revenue</t>
        </is>
      </c>
      <c r="B9" s="15">
        <f>SUM(Revenue!B15:Revenue!M15)</f>
        <v/>
      </c>
      <c r="C9" s="15">
        <f>SUM(Revenue!N15:Revenue!Y15)</f>
        <v/>
      </c>
      <c r="D9" s="16">
        <f>IF(ABS(B9)&gt;0,(C9-B9)/ABS(B9),0)</f>
        <v/>
      </c>
    </row>
    <row r="10">
      <c r="A10" s="3" t="inlineStr">
        <is>
          <t>DFS Rake Revenue</t>
        </is>
      </c>
      <c r="B10" s="15">
        <f>SUM(Revenue!B20:Revenue!M20)</f>
        <v/>
      </c>
      <c r="C10" s="15">
        <f>SUM(Revenue!N20:Revenue!Y20)</f>
        <v/>
      </c>
      <c r="D10" s="16">
        <f>IF(ABS(B10)&gt;0,(C10-B10)/ABS(B10),0)</f>
        <v/>
      </c>
    </row>
    <row r="11">
      <c r="A11" s="3" t="inlineStr">
        <is>
          <t>Advertising Revenue</t>
        </is>
      </c>
      <c r="B11" s="15">
        <f>SUM(Revenue!B25:Revenue!M25)</f>
        <v/>
      </c>
      <c r="C11" s="15">
        <f>SUM(Revenue!N25:Revenue!Y25)</f>
        <v/>
      </c>
      <c r="D11" s="16">
        <f>IF(ABS(B11)&gt;0,(C11-B11)/ABS(B11),0)</f>
        <v/>
      </c>
    </row>
    <row r="12">
      <c r="A12" s="3" t="inlineStr">
        <is>
          <t>Gross Revenue</t>
        </is>
      </c>
      <c r="B12" s="15">
        <f>SUM(Revenue!B27:Revenue!M27)</f>
        <v/>
      </c>
      <c r="C12" s="15">
        <f>SUM(Revenue!N27:Revenue!Y27)</f>
        <v/>
      </c>
      <c r="D12" s="16">
        <f>IF(ABS(B12)&gt;0,(C12-B12)/ABS(B12),0)</f>
        <v/>
      </c>
    </row>
    <row r="13">
      <c r="A13" s="3" t="inlineStr">
        <is>
          <t>Platform Fees</t>
        </is>
      </c>
      <c r="B13" s="15">
        <f>SUM(Revenue!B33:Revenue!M33)</f>
        <v/>
      </c>
      <c r="C13" s="15">
        <f>SUM(Revenue!N33:Revenue!Y33)</f>
        <v/>
      </c>
      <c r="D13" s="16">
        <f>IF(ABS(B13)&gt;0,(C13-B13)/ABS(B13),0)</f>
        <v/>
      </c>
    </row>
    <row r="14">
      <c r="A14" s="3" t="inlineStr">
        <is>
          <t>Net Revenue</t>
        </is>
      </c>
      <c r="B14" s="15">
        <f>SUM(Revenue!B35:Revenue!M35)</f>
        <v/>
      </c>
      <c r="C14" s="15">
        <f>SUM(Revenue!N35:Revenue!Y35)</f>
        <v/>
      </c>
      <c r="D14" s="16">
        <f>IF(ABS(B14)&gt;0,(C14-B14)/ABS(B14),0)</f>
        <v/>
      </c>
    </row>
    <row r="16">
      <c r="A16" s="2" t="inlineStr">
        <is>
          <t>COSTS</t>
        </is>
      </c>
    </row>
    <row r="17">
      <c r="A17" s="3" t="inlineStr">
        <is>
          <t>Total COGS</t>
        </is>
      </c>
      <c r="B17" s="15">
        <f>SUM('COGS &amp; Operating Expenses'!B8:'COGS &amp; Operating Expenses'!M8)</f>
        <v/>
      </c>
      <c r="C17" s="15">
        <f>SUM('COGS &amp; Operating Expenses'!N8:'COGS &amp; Operating Expenses'!Y8)</f>
        <v/>
      </c>
      <c r="D17" s="16">
        <f>IF(ABS(B17)&gt;0,(C17-B17)/ABS(B17),0)</f>
        <v/>
      </c>
    </row>
    <row r="18">
      <c r="A18" s="3" t="inlineStr">
        <is>
          <t>Gross Profit</t>
        </is>
      </c>
      <c r="B18" s="15">
        <f>SUM('COGS &amp; Operating Expenses'!B10:'COGS &amp; Operating Expenses'!M10)</f>
        <v/>
      </c>
      <c r="C18" s="15">
        <f>SUM('COGS &amp; Operating Expenses'!N10:'COGS &amp; Operating Expenses'!Y10)</f>
        <v/>
      </c>
      <c r="D18" s="16">
        <f>IF(ABS(B18)&gt;0,(C18-B18)/ABS(B18),0)</f>
        <v/>
      </c>
    </row>
    <row r="19">
      <c r="A19" s="3" t="inlineStr">
        <is>
          <t>Sales &amp; Marketing</t>
        </is>
      </c>
      <c r="B19" s="15">
        <f>SUM('COGS &amp; Operating Expenses'!B17:'COGS &amp; Operating Expenses'!M17)</f>
        <v/>
      </c>
      <c r="C19" s="15">
        <f>SUM('COGS &amp; Operating Expenses'!N17:'COGS &amp; Operating Expenses'!Y17)</f>
        <v/>
      </c>
      <c r="D19" s="16">
        <f>IF(ABS(B19)&gt;0,(C19-B19)/ABS(B19),0)</f>
        <v/>
      </c>
    </row>
    <row r="20">
      <c r="A20" s="3" t="inlineStr">
        <is>
          <t>DFS Regulatory — Canada</t>
        </is>
      </c>
      <c r="B20" s="15">
        <f>SUM('COGS &amp; Operating Expenses'!B22:'COGS &amp; Operating Expenses'!M22)</f>
        <v/>
      </c>
      <c r="C20" s="15">
        <f>SUM('COGS &amp; Operating Expenses'!N22:'COGS &amp; Operating Expenses'!Y22)</f>
        <v/>
      </c>
      <c r="D20" s="16">
        <f>IF(ABS(B20)&gt;0,(C20-B20)/ABS(B20),0)</f>
        <v/>
      </c>
    </row>
    <row r="21">
      <c r="A21" s="3" t="inlineStr">
        <is>
          <t>US DFS Expansion (Total)</t>
        </is>
      </c>
      <c r="B21" s="15">
        <f>SUM('COGS &amp; Operating Expenses'!B25:'COGS &amp; Operating Expenses'!M25)</f>
        <v/>
      </c>
      <c r="C21" s="15">
        <f>SUM('COGS &amp; Operating Expenses'!N25:'COGS &amp; Operating Expenses'!Y25)</f>
        <v/>
      </c>
      <c r="D21" s="16">
        <f>IF(ABS(B21)&gt;0,(C21-B21)/ABS(B21),0)</f>
        <v/>
      </c>
    </row>
    <row r="22">
      <c r="A22" s="3" t="inlineStr">
        <is>
          <t>Total OPEX</t>
        </is>
      </c>
      <c r="B22" s="15">
        <f>SUM('COGS &amp; Operating Expenses'!B34:'COGS &amp; Operating Expenses'!M34)</f>
        <v/>
      </c>
      <c r="C22" s="15">
        <f>SUM('COGS &amp; Operating Expenses'!N34:'COGS &amp; Operating Expenses'!Y34)</f>
        <v/>
      </c>
      <c r="D22" s="16">
        <f>IF(ABS(B22)&gt;0,(C22-B22)/ABS(B22),0)</f>
        <v/>
      </c>
    </row>
    <row r="23">
      <c r="A23" s="3" t="inlineStr">
        <is>
          <t>EBITDA / Net Income</t>
        </is>
      </c>
      <c r="B23" s="15">
        <f>SUM('COGS &amp; Operating Expenses'!B36:'COGS &amp; Operating Expenses'!M36)</f>
        <v/>
      </c>
      <c r="C23" s="15">
        <f>SUM('COGS &amp; Operating Expenses'!N36:'COGS &amp; Operating Expenses'!Y36)</f>
        <v/>
      </c>
      <c r="D23" s="16">
        <f>IF(ABS(B23)&gt;0,(C23-B23)/ABS(B23),0)</f>
        <v/>
      </c>
    </row>
    <row r="25">
      <c r="A25" s="2" t="inlineStr">
        <is>
          <t>MARGINS</t>
        </is>
      </c>
    </row>
    <row r="26">
      <c r="A26" s="3" t="inlineStr">
        <is>
          <t>Gross Margin %</t>
        </is>
      </c>
      <c r="B26" s="16">
        <f>IF(B14&lt;&gt;0,B18/B14,0)</f>
        <v/>
      </c>
      <c r="C26" s="16">
        <f>IF(C14&lt;&gt;0,C18/C14,0)</f>
        <v/>
      </c>
    </row>
    <row r="27">
      <c r="A27" s="3" t="inlineStr">
        <is>
          <t>EBITDA Margin %</t>
        </is>
      </c>
      <c r="B27" s="16">
        <f>IF(B14&lt;&gt;0,B23/B14,0)</f>
        <v/>
      </c>
      <c r="C27" s="16">
        <f>IF(C14&lt;&gt;0,C23/C14,0)</f>
        <v/>
      </c>
    </row>
  </sheetData>
  <conditionalFormatting sqref="B23:C23">
    <cfRule type="cellIs" priority="1" operator="greaterThan" dxfId="1">
      <formula>0</formula>
    </cfRule>
    <cfRule type="cellIs" priority="2" operator="less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E3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2">
      <c r="A2" s="2" t="inlineStr">
        <is>
          <t>CONVERSION RATE SENSITIVITY (Y2 Pro)</t>
        </is>
      </c>
    </row>
    <row r="3">
      <c r="A3" s="1" t="inlineStr">
        <is>
          <t>Conv Rate</t>
        </is>
      </c>
      <c r="B3" s="1" t="inlineStr">
        <is>
          <t>Y2 Gross Rev (est)</t>
        </is>
      </c>
      <c r="C3" s="1" t="inlineStr">
        <is>
          <t>vs Base</t>
        </is>
      </c>
      <c r="D3" s="1" t="inlineStr"/>
      <c r="E3" s="1" t="inlineStr"/>
    </row>
    <row r="4">
      <c r="A4" s="24" t="n">
        <v>0.02</v>
      </c>
      <c r="B4" s="25">
        <f>(A4/Assumptions!$B$12)*SUM(Revenue!N9:Y9)+SUM(Revenue!N15:Y15)+SUM(Revenue!N20:Y20)+SUM(Revenue!N25:Y25)</f>
        <v/>
      </c>
      <c r="C4" s="26">
        <f>IF(SUM(Revenue!N27:Y27)&lt;&gt;0,(B4-SUM(Revenue!N27:Y27))/SUM(Revenue!N27:Y27),0)</f>
        <v/>
      </c>
    </row>
    <row r="5">
      <c r="A5" s="24" t="n">
        <v>0.035</v>
      </c>
      <c r="B5" s="25">
        <f>(A5/Assumptions!$B$12)*SUM(Revenue!N9:Y9)+SUM(Revenue!N15:Y15)+SUM(Revenue!N20:Y20)+SUM(Revenue!N25:Y25)</f>
        <v/>
      </c>
      <c r="C5" s="26">
        <f>IF(SUM(Revenue!N27:Y27)&lt;&gt;0,(B5-SUM(Revenue!N27:Y27))/SUM(Revenue!N27:Y27),0)</f>
        <v/>
      </c>
    </row>
    <row r="6">
      <c r="A6" s="24" t="n">
        <v>0.055</v>
      </c>
      <c r="B6" s="25">
        <f>(A6/Assumptions!$B$12)*SUM(Revenue!N9:Y9)+SUM(Revenue!N15:Y15)+SUM(Revenue!N20:Y20)+SUM(Revenue!N25:Y25)</f>
        <v/>
      </c>
      <c r="C6" s="26">
        <f>IF(SUM(Revenue!N27:Y27)&lt;&gt;0,(B6-SUM(Revenue!N27:Y27))/SUM(Revenue!N27:Y27),0)</f>
        <v/>
      </c>
      <c r="D6" s="23" t="inlineStr">
        <is>
          <t>&lt;-- BASE</t>
        </is>
      </c>
    </row>
    <row r="7">
      <c r="A7" s="24" t="n">
        <v>0.08</v>
      </c>
      <c r="B7" s="25">
        <f>(A7/Assumptions!$B$12)*SUM(Revenue!N9:Y9)+SUM(Revenue!N15:Y15)+SUM(Revenue!N20:Y20)+SUM(Revenue!N25:Y25)</f>
        <v/>
      </c>
      <c r="C7" s="26">
        <f>IF(SUM(Revenue!N27:Y27)&lt;&gt;0,(B7-SUM(Revenue!N27:Y27))/SUM(Revenue!N27:Y27),0)</f>
        <v/>
      </c>
    </row>
    <row r="8">
      <c r="A8" s="24" t="n">
        <v>0.1</v>
      </c>
      <c r="B8" s="25">
        <f>(A8/Assumptions!$B$12)*SUM(Revenue!N9:Y9)+SUM(Revenue!N15:Y15)+SUM(Revenue!N20:Y20)+SUM(Revenue!N25:Y25)</f>
        <v/>
      </c>
      <c r="C8" s="26">
        <f>IF(SUM(Revenue!N27:Y27)&lt;&gt;0,(B8-SUM(Revenue!N27:Y27))/SUM(Revenue!N27:Y27),0)</f>
        <v/>
      </c>
    </row>
    <row r="10">
      <c r="A10" s="2" t="inlineStr">
        <is>
          <t>CHURN RATE SENSITIVITY (Paid In-Season)</t>
        </is>
      </c>
    </row>
    <row r="11">
      <c r="A11" s="1" t="inlineStr">
        <is>
          <t>Monthly Churn</t>
        </is>
      </c>
      <c r="B11" s="1" t="inlineStr">
        <is>
          <t>Y2 Gross Rev (est)</t>
        </is>
      </c>
      <c r="C11" s="1" t="inlineStr">
        <is>
          <t>vs Base</t>
        </is>
      </c>
      <c r="D11" s="1" t="inlineStr"/>
      <c r="E11" s="1" t="inlineStr"/>
    </row>
    <row r="12">
      <c r="A12" s="24" t="n">
        <v>0.02</v>
      </c>
      <c r="B12" s="25">
        <f>((1-A12)/(1-Assumptions!$B$19))^6*SUM(Revenue!N9:Y9)+SUM(Revenue!N15:Y15)+SUM(Revenue!N20:Y20)+SUM(Revenue!N25:Y25)</f>
        <v/>
      </c>
      <c r="C12" s="26">
        <f>IF(SUM(Revenue!N27:Y27)&lt;&gt;0,(B12-SUM(Revenue!N27:Y27))/SUM(Revenue!N27:Y27),0)</f>
        <v/>
      </c>
    </row>
    <row r="13">
      <c r="A13" s="24" t="n">
        <v>0.04</v>
      </c>
      <c r="B13" s="25">
        <f>((1-A13)/(1-Assumptions!$B$19))^6*SUM(Revenue!N9:Y9)+SUM(Revenue!N15:Y15)+SUM(Revenue!N20:Y20)+SUM(Revenue!N25:Y25)</f>
        <v/>
      </c>
      <c r="C13" s="26">
        <f>IF(SUM(Revenue!N27:Y27)&lt;&gt;0,(B13-SUM(Revenue!N27:Y27))/SUM(Revenue!N27:Y27),0)</f>
        <v/>
      </c>
      <c r="D13" s="23" t="inlineStr">
        <is>
          <t>&lt;-- BASE</t>
        </is>
      </c>
    </row>
    <row r="14">
      <c r="A14" s="24" t="n">
        <v>0.06</v>
      </c>
      <c r="B14" s="25">
        <f>((1-A14)/(1-Assumptions!$B$19))^6*SUM(Revenue!N9:Y9)+SUM(Revenue!N15:Y15)+SUM(Revenue!N20:Y20)+SUM(Revenue!N25:Y25)</f>
        <v/>
      </c>
      <c r="C14" s="26">
        <f>IF(SUM(Revenue!N27:Y27)&lt;&gt;0,(B14-SUM(Revenue!N27:Y27))/SUM(Revenue!N27:Y27),0)</f>
        <v/>
      </c>
    </row>
    <row r="15">
      <c r="A15" s="24" t="n">
        <v>0.09</v>
      </c>
      <c r="B15" s="25">
        <f>((1-A15)/(1-Assumptions!$B$19))^6*SUM(Revenue!N9:Y9)+SUM(Revenue!N15:Y15)+SUM(Revenue!N20:Y20)+SUM(Revenue!N25:Y25)</f>
        <v/>
      </c>
      <c r="C15" s="26">
        <f>IF(SUM(Revenue!N27:Y27)&lt;&gt;0,(B15-SUM(Revenue!N27:Y27))/SUM(Revenue!N27:Y27),0)</f>
        <v/>
      </c>
    </row>
    <row r="16">
      <c r="A16" s="24" t="n">
        <v>0.12</v>
      </c>
      <c r="B16" s="25">
        <f>((1-A16)/(1-Assumptions!$B$19))^6*SUM(Revenue!N9:Y9)+SUM(Revenue!N15:Y15)+SUM(Revenue!N20:Y20)+SUM(Revenue!N25:Y25)</f>
        <v/>
      </c>
      <c r="C16" s="26">
        <f>IF(SUM(Revenue!N27:Y27)&lt;&gt;0,(B16-SUM(Revenue!N27:Y27))/SUM(Revenue!N27:Y27),0)</f>
        <v/>
      </c>
    </row>
    <row r="18">
      <c r="A18" s="2" t="inlineStr">
        <is>
          <t>USER GROWTH SCENARIOS</t>
        </is>
      </c>
    </row>
    <row r="19">
      <c r="A19" s="1" t="inlineStr">
        <is>
          <t>Scenario</t>
        </is>
      </c>
      <c r="B19" s="1" t="inlineStr">
        <is>
          <t>Y2 End Users (est)</t>
        </is>
      </c>
      <c r="C19" s="1" t="inlineStr">
        <is>
          <t>24-Mo Gross Rev (est)</t>
        </is>
      </c>
      <c r="D19" s="1" t="inlineStr">
        <is>
          <t>vs Base</t>
        </is>
      </c>
      <c r="E19" s="1" t="inlineStr"/>
    </row>
    <row r="20">
      <c r="A20" t="inlineStr">
        <is>
          <t>Conservative (0.5x)</t>
        </is>
      </c>
      <c r="B20" s="25">
        <f>ROUND('User Growth'!Y20*0.5,0)</f>
        <v/>
      </c>
      <c r="C20" s="25">
        <f>ROUND(SUM(Revenue!B27:Y27)*0.5,0)</f>
        <v/>
      </c>
      <c r="D20" s="26">
        <f>IF(SUM(Revenue!B27:Y27)&lt;&gt;0,(C20-SUM(Revenue!B27:Y27))/SUM(Revenue!B27:Y27),0)</f>
        <v/>
      </c>
    </row>
    <row r="21">
      <c r="A21" s="23" t="inlineStr">
        <is>
          <t>Base (1x)</t>
        </is>
      </c>
      <c r="B21" s="25">
        <f>ROUND('User Growth'!Y20*1.0,0)</f>
        <v/>
      </c>
      <c r="C21" s="25">
        <f>ROUND(SUM(Revenue!B27:Y27)*1.0,0)</f>
        <v/>
      </c>
      <c r="D21" s="26">
        <f>IF(SUM(Revenue!B27:Y27)&lt;&gt;0,(C21-SUM(Revenue!B27:Y27))/SUM(Revenue!B27:Y27),0)</f>
        <v/>
      </c>
      <c r="E21" s="23" t="inlineStr">
        <is>
          <t>&lt;-- BASE</t>
        </is>
      </c>
    </row>
    <row r="22">
      <c r="A22" t="inlineStr">
        <is>
          <t>Aggressive (2x)</t>
        </is>
      </c>
      <c r="B22" s="25">
        <f>ROUND('User Growth'!Y20*2.0,0)</f>
        <v/>
      </c>
      <c r="C22" s="25">
        <f>ROUND(SUM(Revenue!B27:Y27)*2.0,0)</f>
        <v/>
      </c>
      <c r="D22" s="26">
        <f>IF(SUM(Revenue!B27:Y27)&lt;&gt;0,(C22-SUM(Revenue!B27:Y27))/SUM(Revenue!B27:Y27),0)</f>
        <v/>
      </c>
    </row>
    <row r="23">
      <c r="A23" t="inlineStr">
        <is>
          <t>Hypergrowth (5x)</t>
        </is>
      </c>
      <c r="B23" s="25">
        <f>ROUND('User Growth'!Y20*5.0,0)</f>
        <v/>
      </c>
      <c r="C23" s="25">
        <f>ROUND(SUM(Revenue!B27:Y27)*5.0,0)</f>
        <v/>
      </c>
      <c r="D23" s="26">
        <f>IF(SUM(Revenue!B27:Y27)&lt;&gt;0,(C23-SUM(Revenue!B27:Y27))/SUM(Revenue!B27:Y27),0)</f>
        <v/>
      </c>
    </row>
    <row r="25">
      <c r="A25" s="2" t="inlineStr">
        <is>
          <t>PRICING SENSITIVITY (Pro Tier)</t>
        </is>
      </c>
    </row>
    <row r="26">
      <c r="A26" s="1" t="inlineStr">
        <is>
          <t>Pro Price</t>
        </is>
      </c>
      <c r="B26" s="1" t="inlineStr">
        <is>
          <t>Y2 Sub Rev (est)</t>
        </is>
      </c>
      <c r="C26" s="1" t="inlineStr">
        <is>
          <t>vs Base</t>
        </is>
      </c>
      <c r="D26" s="1" t="inlineStr"/>
      <c r="E26" s="1" t="inlineStr"/>
    </row>
    <row r="27">
      <c r="A27" s="27" t="n">
        <v>3.99</v>
      </c>
      <c r="B27" s="25">
        <f>ROUND((A27/Assumptions!$B$3)*IF(A27&lt;=Assumptions!$B$3,1,MAX(0.7,1-(A27-Assumptions!$B$3)*0.04))*SUM(Revenue!N9:Y9),0)</f>
        <v/>
      </c>
      <c r="C27" s="26">
        <f>IF(SUM(Revenue!N9:Y9)&lt;&gt;0,(B27-SUM(Revenue!N9:Y9))/SUM(Revenue!N9:Y9),0)</f>
        <v/>
      </c>
    </row>
    <row r="28">
      <c r="A28" s="27" t="n">
        <v>4.99</v>
      </c>
      <c r="B28" s="25">
        <f>ROUND((A28/Assumptions!$B$3)*IF(A28&lt;=Assumptions!$B$3,1,MAX(0.7,1-(A28-Assumptions!$B$3)*0.04))*SUM(Revenue!N9:Y9),0)</f>
        <v/>
      </c>
      <c r="C28" s="26">
        <f>IF(SUM(Revenue!N9:Y9)&lt;&gt;0,(B28-SUM(Revenue!N9:Y9))/SUM(Revenue!N9:Y9),0)</f>
        <v/>
      </c>
      <c r="D28" s="23" t="inlineStr">
        <is>
          <t>&lt;-- BASE</t>
        </is>
      </c>
    </row>
    <row r="29">
      <c r="A29" s="27" t="n">
        <v>6.99</v>
      </c>
      <c r="B29" s="25">
        <f>ROUND((A29/Assumptions!$B$3)*IF(A29&lt;=Assumptions!$B$3,1,MAX(0.7,1-(A29-Assumptions!$B$3)*0.04))*SUM(Revenue!N9:Y9),0)</f>
        <v/>
      </c>
      <c r="C29" s="26">
        <f>IF(SUM(Revenue!N9:Y9)&lt;&gt;0,(B29-SUM(Revenue!N9:Y9))/SUM(Revenue!N9:Y9),0)</f>
        <v/>
      </c>
    </row>
    <row r="30">
      <c r="A30" s="27" t="n">
        <v>9.99</v>
      </c>
      <c r="B30" s="25">
        <f>ROUND((A30/Assumptions!$B$3)*IF(A30&lt;=Assumptions!$B$3,1,MAX(0.7,1-(A30-Assumptions!$B$3)*0.04))*SUM(Revenue!N9:Y9),0)</f>
        <v/>
      </c>
      <c r="C30" s="26">
        <f>IF(SUM(Revenue!N9:Y9)&lt;&gt;0,(B30-SUM(Revenue!N9:Y9))/SUM(Revenue!N9:Y9),0)</f>
        <v/>
      </c>
    </row>
  </sheetData>
  <conditionalFormatting sqref="C4:C3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D4:D30">
    <cfRule type="cellIs" priority="3" operator="lessThan" dxfId="0">
      <formula>0</formula>
    </cfRule>
    <cfRule type="cellIs" priority="4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75" customWidth="1" min="3" max="3"/>
  </cols>
  <sheetData>
    <row r="1">
      <c r="A1" s="1" t="inlineStr">
        <is>
          <t>Assumption / Data Point</t>
        </is>
      </c>
      <c r="B1" s="1" t="inlineStr">
        <is>
          <t>Source Name</t>
        </is>
      </c>
      <c r="C1" s="1" t="inlineStr">
        <is>
          <t>URL</t>
        </is>
      </c>
    </row>
    <row r="2">
      <c r="A2" s="2" t="inlineStr">
        <is>
          <t>CONVERSION RATES</t>
        </is>
      </c>
      <c r="B2" t="inlineStr"/>
    </row>
    <row r="3">
      <c r="A3" t="inlineStr">
        <is>
          <t>Freemium conversion benchmarks</t>
        </is>
      </c>
      <c r="B3" t="inlineStr">
        <is>
          <t>OpenView / Lenny's Newsletter</t>
        </is>
      </c>
      <c r="C3" s="28" t="inlineStr">
        <is>
          <t>https://www.lennysnewsletter.com/p/what-is-a-good-free-to-paid-conversion</t>
        </is>
      </c>
    </row>
    <row r="4">
      <c r="A4" t="inlineStr">
        <is>
          <t>Mobile freemium median 2.18%</t>
        </is>
      </c>
      <c r="B4" t="inlineStr">
        <is>
          <t>RevenueCat State of Subscription Apps 2025</t>
        </is>
      </c>
      <c r="C4" s="28" t="inlineStr">
        <is>
          <t>https://www.revenuecat.com/state-of-subscription-apps-2025/</t>
        </is>
      </c>
    </row>
    <row r="5">
      <c r="A5" t="inlineStr"/>
      <c r="B5" t="inlineStr"/>
    </row>
    <row r="6">
      <c r="A6" s="2" t="inlineStr">
        <is>
          <t>CHURN RATES</t>
        </is>
      </c>
      <c r="B6" t="inlineStr"/>
    </row>
    <row r="7">
      <c r="A7" t="inlineStr">
        <is>
          <t>Subscription churn benchmarks</t>
        </is>
      </c>
      <c r="B7" t="inlineStr">
        <is>
          <t>MarketingLTB Subscription Statistics</t>
        </is>
      </c>
      <c r="C7" s="28" t="inlineStr">
        <is>
          <t>https://marketingltb.com/blog/statistics/subscription-statistics/</t>
        </is>
      </c>
    </row>
    <row r="8">
      <c r="A8" t="inlineStr">
        <is>
          <t>Sleeper 75% annual retention</t>
        </is>
      </c>
      <c r="B8" t="inlineStr">
        <is>
          <t>Sleeper Series C PR</t>
        </is>
      </c>
      <c r="C8" s="28" t="inlineStr">
        <is>
          <t>https://www.prnewswire.com/news-releases/fantasy-sports-app-sleeper-raises-40-million-doubles-user-base-in-2021-301379179.html</t>
        </is>
      </c>
    </row>
    <row r="9">
      <c r="A9" t="inlineStr"/>
      <c r="B9" t="inlineStr"/>
    </row>
    <row r="10">
      <c r="A10" s="2" t="inlineStr">
        <is>
          <t>DFS RAKE</t>
        </is>
      </c>
      <c r="B10" t="inlineStr"/>
    </row>
    <row r="11">
      <c r="A11" t="inlineStr">
        <is>
          <t>DraftKings/FanDuel rake 10-16%</t>
        </is>
      </c>
      <c r="B11" t="inlineStr">
        <is>
          <t>Legal Sports Report</t>
        </is>
      </c>
      <c r="C11" s="28" t="inlineStr">
        <is>
          <t>https://www.legalsportsreport.com/15721/draftkings-fanduel-rake-increases/</t>
        </is>
      </c>
    </row>
    <row r="12">
      <c r="A12" t="inlineStr">
        <is>
          <t>Rake comparison data</t>
        </is>
      </c>
      <c r="B12" t="inlineStr">
        <is>
          <t>RotoPicks</t>
        </is>
      </c>
      <c r="C12" s="28" t="inlineStr">
        <is>
          <t>http://www.rotopicks.com/fantasy-leagues/rake-comparison.php</t>
        </is>
      </c>
    </row>
    <row r="13">
      <c r="A13" t="inlineStr"/>
      <c r="B13" t="inlineStr"/>
    </row>
    <row r="14">
      <c r="A14" s="2" t="inlineStr">
        <is>
          <t>ADVERTISING</t>
        </is>
      </c>
      <c r="B14" t="inlineStr"/>
    </row>
    <row r="15">
      <c r="A15" t="inlineStr">
        <is>
          <t>Mobile ad CPM rates</t>
        </is>
      </c>
      <c r="B15" t="inlineStr">
        <is>
          <t>BusinessOfApps</t>
        </is>
      </c>
      <c r="C15" s="28" t="inlineStr">
        <is>
          <t>https://www.businessofapps.com/ads/research/mobile-app-advertising-cpm-rates/</t>
        </is>
      </c>
    </row>
    <row r="16">
      <c r="A16" t="inlineStr">
        <is>
          <t>eCPM benchmarks by format</t>
        </is>
      </c>
      <c r="B16" t="inlineStr">
        <is>
          <t>Appodeal eCPM Report</t>
        </is>
      </c>
      <c r="C16" s="28" t="inlineStr">
        <is>
          <t>https://appodeal.com/blog/mobile-ecpm-report-app-ad-monetization-worldwide-performance/</t>
        </is>
      </c>
    </row>
    <row r="17">
      <c r="A17" t="inlineStr"/>
      <c r="B17" t="inlineStr"/>
    </row>
    <row r="18">
      <c r="A18" s="2" t="inlineStr">
        <is>
          <t>INFRASTRUCTURE</t>
        </is>
      </c>
      <c r="B18" t="inlineStr"/>
    </row>
    <row r="19">
      <c r="A19" t="inlineStr">
        <is>
          <t>Supabase pricing tiers</t>
        </is>
      </c>
      <c r="B19" t="inlineStr">
        <is>
          <t>Supabase Pricing</t>
        </is>
      </c>
      <c r="C19" s="28" t="inlineStr">
        <is>
          <t>https://supabase.com/pricing</t>
        </is>
      </c>
    </row>
    <row r="20">
      <c r="A20" t="inlineStr">
        <is>
          <t>Supabase true cost analysis</t>
        </is>
      </c>
      <c r="B20" t="inlineStr">
        <is>
          <t>Metacto Blog</t>
        </is>
      </c>
      <c r="C20" s="28" t="inlineStr">
        <is>
          <t>https://www.metacto.com/blogs/the-true-cost-of-supabase-a-comprehensive-guide-to-pricing-integration-and-maintenance</t>
        </is>
      </c>
    </row>
    <row r="21">
      <c r="A21" t="inlineStr">
        <is>
          <t>Firebase Hosting pricing</t>
        </is>
      </c>
      <c r="B21" t="inlineStr">
        <is>
          <t>Firebase Docs</t>
        </is>
      </c>
      <c r="C21" s="28" t="inlineStr">
        <is>
          <t>https://firebase.google.com/docs/hosting/usage-quotas-pricing</t>
        </is>
      </c>
    </row>
    <row r="22">
      <c r="A22" t="inlineStr">
        <is>
          <t>Claude API pricing (Sonnet)</t>
        </is>
      </c>
      <c r="B22" t="inlineStr">
        <is>
          <t>Anthropic Pricing — $3/M in, $15/M out, $0.30/M cached</t>
        </is>
      </c>
      <c r="C22" s="28" t="inlineStr">
        <is>
          <t>https://docs.anthropic.com/en/docs/about-claude/models</t>
        </is>
      </c>
    </row>
    <row r="23">
      <c r="A23" t="inlineStr"/>
      <c r="B23" t="inlineStr"/>
    </row>
    <row r="24">
      <c r="A24" s="2" t="inlineStr">
        <is>
          <t>PLATFORM FEES</t>
        </is>
      </c>
      <c r="B24" t="inlineStr"/>
    </row>
    <row r="25">
      <c r="A25" t="inlineStr">
        <is>
          <t>Apple Small Business Program (15%)</t>
        </is>
      </c>
      <c r="B25" t="inlineStr">
        <is>
          <t>Apple Developer</t>
        </is>
      </c>
      <c r="C25" s="28" t="inlineStr">
        <is>
          <t>https://developer.apple.com/app-store/small-business-program/</t>
        </is>
      </c>
    </row>
    <row r="26">
      <c r="A26" t="inlineStr">
        <is>
          <t>Apple SBP implementation</t>
        </is>
      </c>
      <c r="B26" t="inlineStr">
        <is>
          <t>RevenueCat Engineering Blog</t>
        </is>
      </c>
      <c r="C26" s="28" t="inlineStr">
        <is>
          <t>https://www.revenuecat.com/blog/engineering/small-business-program/</t>
        </is>
      </c>
    </row>
    <row r="27">
      <c r="A27" t="inlineStr">
        <is>
          <t>Google Play reduced fee (15%)</t>
        </is>
      </c>
      <c r="B27" t="inlineStr">
        <is>
          <t>Google Play Console</t>
        </is>
      </c>
      <c r="C27" s="28" t="inlineStr">
        <is>
          <t>https://play.google.com/console/about/programs/reducedservicefee/</t>
        </is>
      </c>
    </row>
    <row r="28">
      <c r="A28" t="inlineStr">
        <is>
          <t>Stripe processing fees</t>
        </is>
      </c>
      <c r="B28" t="inlineStr">
        <is>
          <t>Stripe Pricing</t>
        </is>
      </c>
      <c r="C28" s="28" t="inlineStr">
        <is>
          <t>https://stripe.com/pricing</t>
        </is>
      </c>
    </row>
    <row r="29">
      <c r="A29" t="inlineStr">
        <is>
          <t>Apple Developer Program $99/yr</t>
        </is>
      </c>
      <c r="B29" t="inlineStr">
        <is>
          <t>Apple Developer</t>
        </is>
      </c>
      <c r="C29" s="28" t="inlineStr">
        <is>
          <t>https://developer.apple.com/support/enrollment/</t>
        </is>
      </c>
    </row>
    <row r="30">
      <c r="A30" t="inlineStr"/>
      <c r="B30" t="inlineStr"/>
    </row>
    <row r="31">
      <c r="A31" s="2" t="inlineStr">
        <is>
          <t>DFS COMPLIANCE — CANADA (NO LICENSE REQUIRED)</t>
        </is>
      </c>
      <c r="B31" t="inlineStr"/>
    </row>
    <row r="32">
      <c r="A32" t="inlineStr">
        <is>
          <t>Criminal Code s.206(1)(d) skill exemption</t>
        </is>
      </c>
      <c r="B32" t="inlineStr">
        <is>
          <t>DFS is LEGAL — contest of skill, no gaming license</t>
        </is>
      </c>
      <c r="C32" s="28" t="inlineStr">
        <is>
          <t>https://laws-lois.justice.gc.ca/eng/acts/c-46/page-46.html</t>
        </is>
      </c>
    </row>
    <row r="33">
      <c r="A33" t="inlineStr">
        <is>
          <t>NOT regulated by iGaming Ontario</t>
        </is>
      </c>
      <c r="B33" t="inlineStr">
        <is>
          <t>iGO = sportsbooks/casinos only, not DFS</t>
        </is>
      </c>
      <c r="C33" s="28" t="inlineStr">
        <is>
          <t>https://igamingontario.ca/en/operators</t>
        </is>
      </c>
    </row>
    <row r="34">
      <c r="A34" t="inlineStr">
        <is>
          <t>NOT regulated by AGCO for DFS</t>
        </is>
      </c>
      <c r="B34" t="inlineStr">
        <is>
          <t>AGCO gaming regs do not cover skill contests</t>
        </is>
      </c>
      <c r="C34" s="28" t="inlineStr">
        <is>
          <t>https://www.agco.ca/igaming</t>
        </is>
      </c>
    </row>
    <row r="35">
      <c r="A35" t="inlineStr">
        <is>
          <t>DK/FD DFS precedent in Canada</t>
        </is>
      </c>
      <c r="B35" t="inlineStr">
        <is>
          <t>Both operate DFS in Canada without gaming license</t>
        </is>
      </c>
    </row>
    <row r="36">
      <c r="A36" t="inlineStr">
        <is>
          <t>FINTRAC AML if prize pools &gt;$10K</t>
        </is>
      </c>
      <c r="B36" t="inlineStr">
        <is>
          <t>Reporting obligations — not a license, just compliance</t>
        </is>
      </c>
      <c r="C36" s="28" t="inlineStr">
        <is>
          <t>https://fintrac-canafe.canada.ca/re-ed/intro-eng</t>
        </is>
      </c>
    </row>
    <row r="37">
      <c r="A37" t="inlineStr">
        <is>
          <t>Legal opinion $3K-8K one-time</t>
        </is>
      </c>
      <c r="B37" t="inlineStr">
        <is>
          <t>Confirms s.206(1)(d) applies — amortized in model</t>
        </is>
      </c>
    </row>
    <row r="38">
      <c r="A38" t="inlineStr"/>
      <c r="B38" t="inlineStr"/>
    </row>
    <row r="39">
      <c r="A39" s="2" t="inlineStr">
        <is>
          <t>MARKETING / CAC</t>
        </is>
      </c>
      <c r="B39" t="inlineStr"/>
    </row>
    <row r="40">
      <c r="A40" t="inlineStr">
        <is>
          <t>DraftKings/FanDuel CAC $200-350</t>
        </is>
      </c>
      <c r="B40" t="inlineStr">
        <is>
          <t>BusinessOfApps UA Costs</t>
        </is>
      </c>
      <c r="C40" s="28" t="inlineStr">
        <is>
          <t>https://www.businessofapps.com/marketplace/user-acquisition/research/user-acquisition-costs/</t>
        </is>
      </c>
    </row>
    <row r="41">
      <c r="A41" t="inlineStr">
        <is>
          <t>NA Mobile CPI $5.28</t>
        </is>
      </c>
      <c r="B41" t="inlineStr">
        <is>
          <t>BusinessOfApps UA Costs</t>
        </is>
      </c>
      <c r="C41" s="28" t="inlineStr">
        <is>
          <t>https://www.businessofapps.com/marketplace/user-acquisition/research/user-acquisition-costs/</t>
        </is>
      </c>
    </row>
    <row r="42">
      <c r="A42" t="inlineStr"/>
      <c r="B42" t="inlineStr"/>
    </row>
    <row r="43">
      <c r="A43" s="2" t="inlineStr">
        <is>
          <t>MARKET DATA</t>
        </is>
      </c>
      <c r="B43" t="inlineStr"/>
    </row>
    <row r="44">
      <c r="A44" t="inlineStr">
        <is>
          <t>Fantasy sports market $32B, 14.1% CAGR</t>
        </is>
      </c>
      <c r="B44" t="inlineStr">
        <is>
          <t>Mordor Intelligence</t>
        </is>
      </c>
      <c r="C44" s="28" t="inlineStr">
        <is>
          <t>https://www.mordorintelligence.com/industry-reports/north-america-fantasy-sports-market</t>
        </is>
      </c>
    </row>
    <row r="45">
      <c r="A45" t="inlineStr">
        <is>
          <t>Sleeper $40M Series C, 3M+ users</t>
        </is>
      </c>
      <c r="B45" t="inlineStr">
        <is>
          <t>PR Newswire</t>
        </is>
      </c>
      <c r="C45" s="28" t="inlineStr">
        <is>
          <t>https://www.prnewswire.com/news-releases/fantasy-sports-app-sleeper-raises-40-million-doubles-user-base-in-2021-301379179.html</t>
        </is>
      </c>
    </row>
    <row r="46">
      <c r="A46" t="inlineStr"/>
      <c r="B46" t="inlineStr"/>
    </row>
    <row r="47">
      <c r="A47" s="2" t="inlineStr">
        <is>
          <t>METHODOLOGY NOTES</t>
        </is>
      </c>
      <c r="B47" t="inlineStr"/>
    </row>
    <row r="48">
      <c r="A48" t="inlineStr">
        <is>
          <t>User growth model</t>
        </is>
      </c>
      <c r="B48" t="inlineStr">
        <is>
          <t>Bottom-up monthly cohort model with seasonal multipliers</t>
        </is>
      </c>
    </row>
    <row r="49">
      <c r="A49" t="inlineStr">
        <is>
          <t>Conversion timing</t>
        </is>
      </c>
      <c r="B49" t="inlineStr">
        <is>
          <t>In-season 1.8x multiplier, off-season 0.4x</t>
        </is>
      </c>
    </row>
    <row r="50">
      <c r="A50" t="inlineStr">
        <is>
          <t>Churn model</t>
        </is>
      </c>
      <c r="B50" t="inlineStr">
        <is>
          <t>Monthly churn with seasonal variation (in vs off-season)</t>
        </is>
      </c>
    </row>
    <row r="51">
      <c r="A51" t="inlineStr">
        <is>
          <t>Revenue recognition</t>
        </is>
      </c>
      <c r="B51" t="inlineStr">
        <is>
          <t>Subscription recognized monthly; annual billing amortized</t>
        </is>
      </c>
    </row>
    <row r="52">
      <c r="A52" t="inlineStr">
        <is>
          <t>Marketing timing</t>
        </is>
      </c>
      <c r="B52" t="inlineStr">
        <is>
          <t>Digital marketing gated on launch month; influencer spend is lump-sum per month</t>
        </is>
      </c>
    </row>
    <row r="53">
      <c r="A53" t="inlineStr">
        <is>
          <t>Platform fee allocation</t>
        </is>
      </c>
      <c r="B53" t="inlineStr">
        <is>
          <t>70% mobile (60/40 iOS/Android), 30% web (Stripe)</t>
        </is>
      </c>
    </row>
    <row r="54">
      <c r="A54" t="inlineStr">
        <is>
          <t>COGS scaling</t>
        </is>
      </c>
      <c r="B54" t="inlineStr">
        <is>
          <t>Supabase upgrades at 50K users; Claude API scales per-query</t>
        </is>
      </c>
    </row>
    <row r="55">
      <c r="A55" t="inlineStr">
        <is>
          <t>Advertising</t>
        </is>
      </c>
      <c r="B55" t="inlineStr">
        <is>
          <t>Web-only ads (no mobile app ads); 30% web × 80% no ad-blocker = 24% eligible</t>
        </is>
      </c>
    </row>
    <row r="56">
      <c r="A56" t="inlineStr">
        <is>
          <t>DFS compliance (Canada)</t>
        </is>
      </c>
      <c r="B56" t="inlineStr">
        <is>
          <t>NO LICENSE REQUIRED — skill contest under Criminal Code s.206(1)(d); prudent compliance at scale</t>
        </is>
      </c>
    </row>
    <row r="57">
      <c r="A57" t="inlineStr">
        <is>
          <t>DFS launch</t>
        </is>
      </c>
      <c r="B57" t="inlineStr">
        <is>
          <t>Month 19 (Oct 2027) per product roadmap</t>
        </is>
      </c>
    </row>
    <row r="58">
      <c r="A58" t="inlineStr"/>
      <c r="B58" t="inlineStr"/>
    </row>
    <row r="59">
      <c r="A59" s="2" t="inlineStr">
        <is>
          <t>US DFS EXPANSION (TOGGLE — SET TO 99 = OFF)</t>
        </is>
      </c>
      <c r="B59" t="inlineStr"/>
    </row>
    <row r="60">
      <c r="A60" t="inlineStr">
        <is>
          <t>NY Gaming Commission — $500K Y1</t>
        </is>
      </c>
      <c r="B60" t="inlineStr">
        <is>
          <t>Most expensive US state for DFS</t>
        </is>
      </c>
      <c r="C60" s="28" t="inlineStr">
        <is>
          <t>https://www.gaming.ny.gov/fantasysports</t>
        </is>
      </c>
    </row>
    <row r="61">
      <c r="A61" t="inlineStr">
        <is>
          <t>State-by-state licensing fees</t>
        </is>
      </c>
      <c r="B61" t="inlineStr">
        <is>
          <t>19 states with DFS registration/licensing</t>
        </is>
      </c>
      <c r="C61" s="28" t="inlineStr">
        <is>
          <t>https://www.legalsportsreport.com/dfs-bill-tracker/</t>
        </is>
      </c>
    </row>
    <row r="62">
      <c r="A62" t="inlineStr">
        <is>
          <t>GeoComply geolocation vendor</t>
        </is>
      </c>
      <c r="B62" t="inlineStr">
        <is>
          <t>Required for multi-state compliance</t>
        </is>
      </c>
      <c r="C62" s="28" t="inlineStr">
        <is>
          <t>https://www.geocomply.com</t>
        </is>
      </c>
    </row>
    <row r="63">
      <c r="A63" t="inlineStr">
        <is>
          <t>NY DFS revenue tax ~15%</t>
        </is>
      </c>
      <c r="B63" t="inlineStr">
        <is>
          <t>Tax on DFS revenue from NY users</t>
        </is>
      </c>
      <c r="C63" s="28" t="inlineStr">
        <is>
          <t>https://www.gaming.ny.gov/fantasysports</t>
        </is>
      </c>
    </row>
    <row r="64">
      <c r="A64" t="inlineStr">
        <is>
          <t>Estimated all-state Y1 cost ~$850K</t>
        </is>
      </c>
      <c r="B64" t="inlineStr">
        <is>
          <t>Licensing fees only; +$285K/yr compliance</t>
        </is>
      </c>
    </row>
    <row r="65">
      <c r="A65" t="inlineStr"/>
      <c r="B65" t="inlineStr"/>
    </row>
    <row r="66">
      <c r="A66" t="inlineStr">
        <is>
          <t>METHODOLOGY NOTES (continued)</t>
        </is>
      </c>
      <c r="B66" t="inlineStr"/>
    </row>
    <row r="67">
      <c r="A67" t="inlineStr">
        <is>
          <t>US DFS expansion toggle</t>
        </is>
      </c>
      <c r="B67" t="inlineStr">
        <is>
          <t>Set month index on Assumptions tab (99 = OFF); Y1 fees amortized /12, then annual renewal /12</t>
        </is>
      </c>
    </row>
    <row r="68">
      <c r="A68" t="inlineStr">
        <is>
          <t>US DFS states modeled (19)</t>
        </is>
      </c>
      <c r="B68" t="inlineStr">
        <is>
          <t>NY, MA, VA, TN, IN, PA, CT, CO, IL, MO, OR, MD, KS, VT, AR, MS, NH, DE, RI</t>
        </is>
      </c>
    </row>
    <row r="69">
      <c r="A69" t="inlineStr">
        <is>
          <t>US banned states</t>
        </is>
      </c>
      <c r="B69" t="inlineStr">
        <is>
          <t>Idaho, Hawaii banned; Nevada requires full gaming license (~$500K+)</t>
        </is>
      </c>
    </row>
    <row r="70">
      <c r="A70" t="inlineStr"/>
      <c r="B70" t="inlineStr"/>
    </row>
    <row r="71">
      <c r="A71" s="2" t="inlineStr">
        <is>
          <t>DYNAMIC MODEL NOTE</t>
        </is>
      </c>
      <c r="B71" t="inlineStr"/>
    </row>
    <row r="72">
      <c r="A72" t="inlineStr">
        <is>
          <t>All computed cells use Excel formulas</t>
        </is>
      </c>
      <c r="B72" t="inlineStr">
        <is>
          <t>Change any yellow input cell to recalculate instantly</t>
        </is>
      </c>
    </row>
    <row r="73">
      <c r="A73" t="inlineStr">
        <is>
          <t>Input cells on Assumptions tab</t>
        </is>
      </c>
      <c r="B73" t="inlineStr">
        <is>
          <t>All model inputs: pricing, rates, costs, AND monthly new user targets</t>
        </is>
      </c>
    </row>
    <row r="74">
      <c r="A74" t="inlineStr">
        <is>
          <t>Input cells on COGS tab</t>
        </is>
      </c>
      <c r="B74" t="inlineStr">
        <is>
          <t>Monthly conference/travel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2026-03-26T18:26:51Z</dcterms:created>
  <dcterms:modified xsi:type="dcterms:W3CDTF">2026-03-26T18:26:51Z</dcterms:modified>
</cp:coreProperties>
</file>